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9872" windowHeight="13335" tabRatio="600" firstSheet="1" activeTab="1" autoFilterDateGrouping="1"/>
  </bookViews>
  <sheets>
    <sheet xmlns:r="http://schemas.openxmlformats.org/officeDocument/2006/relationships" name="里程碑计划" sheetId="1" state="visible" r:id="rId1"/>
    <sheet xmlns:r="http://schemas.openxmlformats.org/officeDocument/2006/relationships" name="主计划" sheetId="2" state="visible" r:id="rId2"/>
    <sheet xmlns:r="http://schemas.openxmlformats.org/officeDocument/2006/relationships" name="项目准备WBS" sheetId="3" state="visible" r:id="rId3"/>
    <sheet xmlns:r="http://schemas.openxmlformats.org/officeDocument/2006/relationships" name="需求分析WBS" sheetId="4" state="visible" r:id="rId4"/>
    <sheet xmlns:r="http://schemas.openxmlformats.org/officeDocument/2006/relationships" name="系统实现WBS" sheetId="5" state="visible" r:id="rId5"/>
    <sheet xmlns:r="http://schemas.openxmlformats.org/officeDocument/2006/relationships" name="UAT试运行WBS" sheetId="6" state="visible" r:id="rId6"/>
    <sheet xmlns:r="http://schemas.openxmlformats.org/officeDocument/2006/relationships" name="上线运行WBS" sheetId="7" state="visible" r:id="rId7"/>
    <sheet xmlns:r="http://schemas.openxmlformats.org/officeDocument/2006/relationships" name="法定节假日" sheetId="8" state="visible" r:id="rId8"/>
  </sheets>
  <definedNames/>
  <calcPr calcId="191029" calcMode="auto" fullCalcOnLoad="1"/>
</workbook>
</file>

<file path=xl/styles.xml><?xml version="1.0" encoding="utf-8"?>
<styleSheet xmlns="http://schemas.openxmlformats.org/spreadsheetml/2006/main">
  <numFmts count="3">
    <numFmt numFmtId="164" formatCode="yyyy&quot;年&quot;m&quot;月&quot;;@"/>
    <numFmt numFmtId="165" formatCode="yyyy-mm-dd"/>
    <numFmt numFmtId="166" formatCode="d"/>
  </numFmts>
  <fonts count="48">
    <font>
      <name val="等线"/>
      <charset val="134"/>
      <color theme="1"/>
      <sz val="12"/>
      <scheme val="minor"/>
    </font>
    <font>
      <name val="等线"/>
      <charset val="134"/>
      <color rgb="FF000000"/>
      <sz val="11"/>
    </font>
    <font>
      <name val="等线"/>
      <charset val="134"/>
      <color rgb="FF000000"/>
      <sz val="11"/>
      <scheme val="minor"/>
    </font>
    <font>
      <name val="等线"/>
      <charset val="134"/>
      <color rgb="FF000000"/>
      <sz val="12"/>
      <scheme val="minor"/>
    </font>
    <font>
      <name val="等线"/>
      <charset val="134"/>
      <color rgb="FFFF0000"/>
      <sz val="11"/>
      <scheme val="minor"/>
    </font>
    <font>
      <name val="微软雅黑"/>
      <charset val="134"/>
      <color rgb="FF000000"/>
      <sz val="11"/>
    </font>
    <font>
      <name val="等线"/>
      <charset val="134"/>
      <b val="1"/>
      <color theme="0"/>
      <sz val="12"/>
      <scheme val="minor"/>
    </font>
    <font>
      <name val="等线"/>
      <charset val="134"/>
      <sz val="12"/>
      <scheme val="minor"/>
    </font>
    <font>
      <name val="等线"/>
      <charset val="134"/>
      <b val="1"/>
      <color theme="0"/>
      <sz val="11"/>
      <scheme val="minor"/>
    </font>
    <font>
      <name val="等线"/>
      <charset val="134"/>
      <b val="1"/>
      <color rgb="FF000000"/>
      <sz val="11"/>
      <scheme val="minor"/>
    </font>
    <font>
      <name val="等线"/>
      <charset val="134"/>
      <color theme="1"/>
      <sz val="11"/>
      <scheme val="minor"/>
    </font>
    <font>
      <name val="等线"/>
      <charset val="134"/>
      <sz val="11"/>
      <scheme val="minor"/>
    </font>
    <font>
      <name val="等线"/>
      <charset val="134"/>
      <b val="1"/>
      <sz val="11"/>
      <scheme val="minor"/>
    </font>
    <font>
      <name val="等线"/>
      <charset val="134"/>
      <color rgb="FFFF0000"/>
      <sz val="10"/>
      <scheme val="minor"/>
    </font>
    <font>
      <name val="宋体"/>
      <charset val="134"/>
      <color rgb="FF000000"/>
      <sz val="12"/>
    </font>
    <font>
      <name val="微软雅黑"/>
      <charset val="134"/>
      <b val="1"/>
      <color rgb="FF000000"/>
      <sz val="12"/>
    </font>
    <font>
      <name val="微软雅黑"/>
      <charset val="134"/>
      <color rgb="FF000000"/>
      <sz val="10"/>
    </font>
    <font>
      <name val="宋体"/>
      <charset val="134"/>
      <color rgb="FF000000"/>
      <sz val="10"/>
    </font>
    <font>
      <name val="微软雅黑"/>
      <charset val="134"/>
      <color rgb="FF000000"/>
      <sz val="8"/>
    </font>
    <font>
      <name val="Arial"/>
      <charset val="134"/>
      <color rgb="FF000000"/>
      <sz val="10"/>
    </font>
    <font>
      <name val="Arial"/>
      <charset val="134"/>
      <b val="1"/>
      <color rgb="FF000000"/>
      <sz val="10"/>
    </font>
    <font>
      <name val="微软雅黑"/>
      <charset val="134"/>
      <color rgb="FF000000"/>
      <sz val="14"/>
    </font>
    <font>
      <name val="微软雅黑"/>
      <charset val="134"/>
      <color rgb="FF000000"/>
      <sz val="12"/>
    </font>
    <font>
      <name val="等线"/>
      <charset val="134"/>
      <color theme="10"/>
      <sz val="10"/>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微软雅黑"/>
      <charset val="134"/>
      <color theme="1"/>
      <sz val="10"/>
    </font>
    <font>
      <name val="Segoe UI"/>
      <color rgb="00334155"/>
      <sz val="9"/>
    </font>
    <font>
      <name val="Segoe UI"/>
      <b val="1"/>
      <color rgb="0094A3B8"/>
      <sz val="9"/>
    </font>
    <font>
      <name val="微软雅黑"/>
      <b val="1"/>
      <color rgb="00FFFFFF"/>
      <sz val="10"/>
    </font>
    <font>
      <name val="微软雅黑"/>
      <b val="1"/>
      <color rgb="000F172A"/>
      <sz val="10"/>
    </font>
    <font>
      <name val="微软雅黑"/>
      <b val="1"/>
      <color rgb="000F766E"/>
      <sz val="9.5"/>
    </font>
  </fonts>
  <fills count="47">
    <fill>
      <patternFill/>
    </fill>
    <fill>
      <patternFill patternType="gray125"/>
    </fill>
    <fill>
      <patternFill patternType="solid">
        <fgColor rgb="FFECECEC"/>
        <bgColor indexed="64"/>
      </patternFill>
    </fill>
    <fill>
      <patternFill patternType="solid">
        <fgColor rgb="FFD9E2F3"/>
        <bgColor indexed="64"/>
      </patternFill>
    </fill>
    <fill>
      <patternFill patternType="solid">
        <fgColor theme="6" tint="0.8"/>
        <bgColor indexed="64"/>
      </patternFill>
    </fill>
    <fill>
      <patternFill patternType="solid">
        <fgColor rgb="FFF2F2F2"/>
        <bgColor indexed="64"/>
      </patternFill>
    </fill>
    <fill>
      <patternFill patternType="solid">
        <fgColor rgb="FF4472C4"/>
        <bgColor indexed="64"/>
      </patternFill>
    </fill>
    <fill>
      <patternFill patternType="solid">
        <fgColor rgb="FF0070C0"/>
        <bgColor indexed="64"/>
      </patternFill>
    </fill>
    <fill>
      <patternFill patternType="solid">
        <fgColor rgb="FFFFFF00"/>
        <bgColor indexed="64"/>
      </patternFill>
    </fill>
    <fill>
      <patternFill patternType="solid">
        <fgColor theme="4" tint="0.8"/>
        <bgColor indexed="64"/>
      </patternFill>
    </fill>
    <fill>
      <patternFill patternType="solid">
        <fgColor rgb="FFFFFFFF"/>
        <bgColor indexed="64"/>
      </patternFill>
    </fill>
    <fill>
      <patternFill patternType="solid">
        <fgColor rgb="FFA8D08D"/>
        <bgColor indexed="64"/>
      </patternFill>
    </fill>
    <fill>
      <patternFill patternType="solid">
        <fgColor rgb="FFC5E0B3"/>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8FAFC"/>
        <bgColor rgb="00F8FAFC"/>
      </patternFill>
    </fill>
    <fill>
      <patternFill patternType="solid">
        <fgColor rgb="00E2E8F0"/>
        <bgColor rgb="00E2E8F0"/>
      </patternFill>
    </fill>
    <fill>
      <patternFill patternType="solid">
        <fgColor rgb="001E293B"/>
        <bgColor rgb="001E293B"/>
      </patternFill>
    </fill>
    <fill>
      <patternFill patternType="solid">
        <fgColor rgb="00F1F5F9"/>
        <bgColor rgb="00F1F5F9"/>
      </patternFill>
    </fill>
  </fills>
  <borders count="4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style="medium">
        <color rgb="FF000000"/>
      </left>
      <right style="thin">
        <color rgb="FF000000"/>
      </right>
      <top/>
      <bottom/>
      <diagonal/>
    </border>
    <border>
      <left style="hair">
        <color rgb="FF000000"/>
      </left>
      <right style="hair">
        <color rgb="FF000000"/>
      </right>
      <top style="thin">
        <color rgb="FF000000"/>
      </top>
      <bottom/>
      <diagonal/>
    </border>
    <border>
      <left style="hair">
        <color rgb="FF000000"/>
      </left>
      <right/>
      <top style="thin">
        <color rgb="FF000000"/>
      </top>
      <bottom/>
      <diagonal/>
    </border>
    <border>
      <left style="medium">
        <color rgb="FF000000"/>
      </left>
      <right style="thin">
        <color rgb="FF000000"/>
      </right>
      <top style="medium">
        <color rgb="FF000000"/>
      </top>
      <bottom style="medium">
        <color rgb="FF000000"/>
      </bottom>
      <diagonal/>
    </border>
    <border>
      <left style="hair">
        <color rgb="FF000000"/>
      </left>
      <right style="hair">
        <color rgb="FF000000"/>
      </right>
      <top style="medium">
        <color rgb="FF000000"/>
      </top>
      <bottom style="medium">
        <color rgb="FF000000"/>
      </bottom>
      <diagonal/>
    </border>
    <border>
      <left style="hair">
        <color rgb="FF000000"/>
      </left>
      <right/>
      <top style="medium">
        <color rgb="FF000000"/>
      </top>
      <bottom style="medium">
        <color rgb="FF000000"/>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style="thin">
        <color rgb="FF000000"/>
      </right>
      <top style="medium">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top/>
      <bottom/>
      <diagonal/>
    </border>
    <border>
      <left style="medium">
        <color rgb="FF000000"/>
      </left>
      <right style="medium">
        <color rgb="FF000000"/>
      </right>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bottom/>
      <diagonal/>
    </border>
    <border/>
    <border>
      <left style="thin">
        <color rgb="00CBD5E1"/>
      </left>
      <right style="thin">
        <color rgb="00CBD5E1"/>
      </right>
      <top style="thin">
        <color rgb="00CBD5E1"/>
      </top>
      <bottom style="thin">
        <color rgb="00CBD5E1"/>
      </bottom>
    </border>
  </borders>
  <cellStyleXfs count="50">
    <xf numFmtId="0" fontId="0" fillId="0" borderId="0" applyAlignment="1">
      <alignment vertical="center"/>
    </xf>
    <xf numFmtId="43" fontId="10" fillId="0" borderId="0" applyAlignment="1">
      <alignment vertical="center"/>
    </xf>
    <xf numFmtId="44" fontId="10" fillId="0" borderId="0" applyAlignment="1">
      <alignment vertical="center"/>
    </xf>
    <xf numFmtId="9" fontId="10" fillId="0" borderId="0" applyAlignment="1">
      <alignment vertical="center"/>
    </xf>
    <xf numFmtId="41" fontId="10" fillId="0" borderId="0" applyAlignment="1">
      <alignment vertical="center"/>
    </xf>
    <xf numFmtId="42" fontId="10" fillId="0" borderId="0" applyAlignment="1">
      <alignment vertical="center"/>
    </xf>
    <xf numFmtId="0" fontId="23" fillId="0" borderId="0" applyAlignment="1">
      <alignment vertical="center"/>
    </xf>
    <xf numFmtId="0" fontId="24" fillId="0" borderId="0" applyAlignment="1">
      <alignment vertical="center"/>
    </xf>
    <xf numFmtId="0" fontId="10" fillId="13" borderId="25" applyAlignment="1">
      <alignment vertical="center"/>
    </xf>
    <xf numFmtId="0" fontId="25" fillId="0" borderId="0" applyAlignment="1">
      <alignment vertical="center"/>
    </xf>
    <xf numFmtId="0" fontId="26" fillId="0" borderId="0" applyAlignment="1">
      <alignment vertical="center"/>
    </xf>
    <xf numFmtId="0" fontId="27" fillId="0" borderId="0" applyAlignment="1">
      <alignment vertical="center"/>
    </xf>
    <xf numFmtId="0" fontId="28" fillId="0" borderId="26" applyAlignment="1">
      <alignment vertical="center"/>
    </xf>
    <xf numFmtId="0" fontId="29" fillId="0" borderId="26" applyAlignment="1">
      <alignment vertical="center"/>
    </xf>
    <xf numFmtId="0" fontId="30" fillId="0" borderId="27" applyAlignment="1">
      <alignment vertical="center"/>
    </xf>
    <xf numFmtId="0" fontId="30" fillId="0" borderId="0" applyAlignment="1">
      <alignment vertical="center"/>
    </xf>
    <xf numFmtId="0" fontId="31" fillId="14" borderId="28" applyAlignment="1">
      <alignment vertical="center"/>
    </xf>
    <xf numFmtId="0" fontId="32" fillId="5" borderId="29" applyAlignment="1">
      <alignment vertical="center"/>
    </xf>
    <xf numFmtId="0" fontId="33" fillId="5" borderId="28" applyAlignment="1">
      <alignment vertical="center"/>
    </xf>
    <xf numFmtId="0" fontId="34" fillId="15" borderId="30" applyAlignment="1">
      <alignment vertical="center"/>
    </xf>
    <xf numFmtId="0" fontId="35" fillId="0" borderId="31" applyAlignment="1">
      <alignment vertical="center"/>
    </xf>
    <xf numFmtId="0" fontId="36" fillId="0" borderId="32" applyAlignment="1">
      <alignment vertical="center"/>
    </xf>
    <xf numFmtId="0" fontId="37" fillId="16" borderId="0" applyAlignment="1">
      <alignment vertical="center"/>
    </xf>
    <xf numFmtId="0" fontId="38" fillId="17" borderId="0" applyAlignment="1">
      <alignment vertical="center"/>
    </xf>
    <xf numFmtId="0" fontId="39" fillId="18" borderId="0" applyAlignment="1">
      <alignment vertical="center"/>
    </xf>
    <xf numFmtId="0" fontId="40" fillId="19" borderId="0" applyAlignment="1">
      <alignment vertical="center"/>
    </xf>
    <xf numFmtId="0" fontId="41" fillId="20" borderId="0" applyAlignment="1">
      <alignment vertical="center"/>
    </xf>
    <xf numFmtId="0" fontId="41" fillId="21" borderId="0" applyAlignment="1">
      <alignment vertical="center"/>
    </xf>
    <xf numFmtId="0" fontId="40" fillId="22" borderId="0" applyAlignment="1">
      <alignment vertical="center"/>
    </xf>
    <xf numFmtId="0" fontId="40" fillId="23" borderId="0" applyAlignment="1">
      <alignment vertical="center"/>
    </xf>
    <xf numFmtId="0" fontId="41" fillId="24" borderId="0" applyAlignment="1">
      <alignment vertical="center"/>
    </xf>
    <xf numFmtId="0" fontId="41" fillId="25" borderId="0" applyAlignment="1">
      <alignment vertical="center"/>
    </xf>
    <xf numFmtId="0" fontId="40" fillId="26" borderId="0" applyAlignment="1">
      <alignment vertical="center"/>
    </xf>
    <xf numFmtId="0" fontId="40" fillId="27" borderId="0" applyAlignment="1">
      <alignment vertical="center"/>
    </xf>
    <xf numFmtId="0" fontId="41" fillId="28" borderId="0" applyAlignment="1">
      <alignment vertical="center"/>
    </xf>
    <xf numFmtId="0" fontId="41" fillId="29" borderId="0" applyAlignment="1">
      <alignment vertical="center"/>
    </xf>
    <xf numFmtId="0" fontId="40" fillId="30" borderId="0" applyAlignment="1">
      <alignment vertical="center"/>
    </xf>
    <xf numFmtId="0" fontId="40" fillId="31" borderId="0" applyAlignment="1">
      <alignment vertical="center"/>
    </xf>
    <xf numFmtId="0" fontId="41" fillId="32" borderId="0" applyAlignment="1">
      <alignment vertical="center"/>
    </xf>
    <xf numFmtId="0" fontId="41" fillId="33" borderId="0" applyAlignment="1">
      <alignment vertical="center"/>
    </xf>
    <xf numFmtId="0" fontId="40" fillId="34" borderId="0" applyAlignment="1">
      <alignment vertical="center"/>
    </xf>
    <xf numFmtId="0" fontId="40" fillId="35" borderId="0" applyAlignment="1">
      <alignment vertical="center"/>
    </xf>
    <xf numFmtId="0" fontId="41" fillId="36" borderId="0" applyAlignment="1">
      <alignment vertical="center"/>
    </xf>
    <xf numFmtId="0" fontId="41" fillId="37" borderId="0" applyAlignment="1">
      <alignment vertical="center"/>
    </xf>
    <xf numFmtId="0" fontId="40" fillId="38" borderId="0" applyAlignment="1">
      <alignment vertical="center"/>
    </xf>
    <xf numFmtId="0" fontId="40" fillId="39" borderId="0" applyAlignment="1">
      <alignment vertical="center"/>
    </xf>
    <xf numFmtId="0" fontId="41" fillId="40" borderId="0" applyAlignment="1">
      <alignment vertical="center"/>
    </xf>
    <xf numFmtId="0" fontId="41" fillId="41" borderId="0" applyAlignment="1">
      <alignment vertical="center"/>
    </xf>
    <xf numFmtId="0" fontId="40" fillId="42" borderId="0" applyAlignment="1">
      <alignment vertical="center"/>
    </xf>
    <xf numFmtId="0" fontId="42" fillId="0" borderId="0" applyAlignment="1">
      <alignment vertical="center"/>
    </xf>
  </cellStyleXfs>
  <cellXfs count="148">
    <xf numFmtId="0" fontId="0" fillId="0" borderId="0" applyAlignment="1" pivotButton="0" quotePrefix="0" xfId="0">
      <alignment vertical="center"/>
    </xf>
    <xf numFmtId="0" fontId="1" fillId="0" borderId="0" pivotButton="0" quotePrefix="0" xfId="0"/>
    <xf numFmtId="0" fontId="0" fillId="0" borderId="0" pivotButton="0" quotePrefix="0" xfId="0"/>
    <xf numFmtId="0" fontId="1" fillId="0" borderId="1" applyAlignment="1" pivotButton="0" quotePrefix="0" xfId="0">
      <alignment horizontal="center" vertical="center"/>
    </xf>
    <xf numFmtId="0" fontId="1" fillId="0" borderId="1" applyAlignment="1" pivotButton="0" quotePrefix="0" xfId="0">
      <alignment horizontal="center"/>
    </xf>
    <xf numFmtId="0" fontId="1" fillId="0" borderId="0" applyAlignment="1" pivotButton="0" quotePrefix="0" xfId="0">
      <alignment vertical="center"/>
    </xf>
    <xf numFmtId="14" fontId="1" fillId="0" borderId="1" applyAlignment="1" pivotButton="0" quotePrefix="0" xfId="0">
      <alignment horizontal="center" vertical="center"/>
    </xf>
    <xf numFmtId="14" fontId="1" fillId="0" borderId="0" applyAlignment="1" pivotButton="0" quotePrefix="0" xfId="0">
      <alignment vertical="center"/>
    </xf>
    <xf numFmtId="0" fontId="0" fillId="0" borderId="2" pivotButton="0" quotePrefix="0" xfId="0"/>
    <xf numFmtId="0" fontId="0" fillId="0" borderId="3" pivotButton="0" quotePrefix="0" xfId="0"/>
    <xf numFmtId="0" fontId="1" fillId="0" borderId="1" applyAlignment="1" pivotButton="0" quotePrefix="0" xfId="0">
      <alignment horizontal="center" vertical="center" wrapText="1"/>
    </xf>
    <xf numFmtId="0" fontId="1" fillId="0" borderId="0" applyAlignment="1" pivotButton="0" quotePrefix="0" xfId="0">
      <alignment vertical="center" wrapText="1"/>
    </xf>
    <xf numFmtId="0" fontId="1" fillId="0" borderId="0" applyAlignment="1" pivotButton="0" quotePrefix="0" xfId="0">
      <alignment horizontal="center"/>
    </xf>
    <xf numFmtId="0" fontId="2" fillId="2" borderId="1" applyAlignment="1" pivotButton="0" quotePrefix="0" xfId="0">
      <alignment horizontal="center" vertical="center" wrapText="1"/>
    </xf>
    <xf numFmtId="0" fontId="2" fillId="2" borderId="1" applyAlignment="1" pivotButton="0" quotePrefix="0" xfId="0">
      <alignment horizontal="center" vertical="center"/>
    </xf>
    <xf numFmtId="0" fontId="3" fillId="2" borderId="1" applyAlignment="1" pivotButton="0" quotePrefix="0" xfId="0">
      <alignment horizontal="center" vertical="center" wrapText="1"/>
    </xf>
    <xf numFmtId="0" fontId="0" fillId="0" borderId="1" pivotButton="0" quotePrefix="0" xfId="0"/>
    <xf numFmtId="0" fontId="2" fillId="3" borderId="1" applyAlignment="1" pivotButton="0" quotePrefix="0" xfId="0">
      <alignment horizontal="left"/>
    </xf>
    <xf numFmtId="0" fontId="2" fillId="3" borderId="1" applyAlignment="1" pivotButton="0" quotePrefix="0" xfId="0">
      <alignment horizontal="left" vertical="center"/>
    </xf>
    <xf numFmtId="0" fontId="2" fillId="3" borderId="1" pivotButton="0" quotePrefix="0" xfId="0"/>
    <xf numFmtId="0" fontId="2" fillId="3" borderId="1" applyAlignment="1" pivotButton="0" quotePrefix="0" xfId="0">
      <alignment horizontal="center" vertical="center"/>
    </xf>
    <xf numFmtId="14" fontId="2" fillId="3" borderId="1" pivotButton="0" quotePrefix="0" xfId="0"/>
    <xf numFmtId="0" fontId="2" fillId="3" borderId="1" applyAlignment="1" pivotButton="0" quotePrefix="0" xfId="0">
      <alignment horizontal="center"/>
    </xf>
    <xf numFmtId="0" fontId="2" fillId="0" borderId="1" pivotButton="0" quotePrefix="0" xfId="0"/>
    <xf numFmtId="0" fontId="2" fillId="0" borderId="1" applyAlignment="1" pivotButton="0" quotePrefix="0" xfId="0">
      <alignment horizontal="left"/>
    </xf>
    <xf numFmtId="49" fontId="2" fillId="4" borderId="1" applyAlignment="1" pivotButton="0" quotePrefix="0" xfId="0">
      <alignment horizontal="left"/>
    </xf>
    <xf numFmtId="0" fontId="2" fillId="4" borderId="1" applyAlignment="1" pivotButton="0" quotePrefix="0" xfId="0">
      <alignment vertical="center"/>
    </xf>
    <xf numFmtId="0" fontId="2" fillId="4" borderId="1" applyAlignment="1" pivotButton="0" quotePrefix="0" xfId="0">
      <alignment horizontal="left"/>
    </xf>
    <xf numFmtId="0" fontId="2" fillId="4" borderId="1" pivotButton="0" quotePrefix="0" xfId="0"/>
    <xf numFmtId="0" fontId="2" fillId="4" borderId="1" applyAlignment="1" pivotButton="0" quotePrefix="0" xfId="0">
      <alignment horizontal="center" vertical="center"/>
    </xf>
    <xf numFmtId="14" fontId="2" fillId="4" borderId="1" applyAlignment="1" pivotButton="0" quotePrefix="0" xfId="0">
      <alignment horizontal="left" vertical="center"/>
    </xf>
    <xf numFmtId="0" fontId="2" fillId="4" borderId="1" applyAlignment="1" pivotButton="0" quotePrefix="0" xfId="0">
      <alignment horizontal="left" vertical="center"/>
    </xf>
    <xf numFmtId="0" fontId="2" fillId="4" borderId="1" applyAlignment="1" pivotButton="0" quotePrefix="0" xfId="0">
      <alignment horizontal="center"/>
    </xf>
    <xf numFmtId="0" fontId="2" fillId="0" borderId="1" applyAlignment="1" pivotButton="0" quotePrefix="0" xfId="0">
      <alignment vertical="center"/>
    </xf>
    <xf numFmtId="0" fontId="2" fillId="0" borderId="1" applyAlignment="1" pivotButton="0" quotePrefix="0" xfId="0">
      <alignment horizontal="center" vertical="center"/>
    </xf>
    <xf numFmtId="14" fontId="2" fillId="0" borderId="1" applyAlignment="1" pivotButton="0" quotePrefix="0" xfId="0">
      <alignment horizontal="left" vertical="center"/>
    </xf>
    <xf numFmtId="0" fontId="2" fillId="0" borderId="1" applyAlignment="1" pivotButton="0" quotePrefix="0" xfId="0">
      <alignment horizontal="left" vertical="center"/>
    </xf>
    <xf numFmtId="0" fontId="2" fillId="0" borderId="1" applyAlignment="1" pivotButton="0" quotePrefix="0" xfId="0">
      <alignment horizontal="center"/>
    </xf>
    <xf numFmtId="0" fontId="4" fillId="0" borderId="1" applyAlignment="1" pivotButton="0" quotePrefix="0" xfId="0">
      <alignment horizontal="center" vertical="center"/>
    </xf>
    <xf numFmtId="14" fontId="2" fillId="0" borderId="1" pivotButton="0" quotePrefix="0" xfId="0"/>
    <xf numFmtId="0" fontId="5" fillId="0" borderId="0" pivotButton="0" quotePrefix="0" xfId="0"/>
    <xf numFmtId="0" fontId="5" fillId="0" borderId="0" applyAlignment="1" pivotButton="0" quotePrefix="0" xfId="0">
      <alignment horizontal="center" vertical="center"/>
    </xf>
    <xf numFmtId="14" fontId="2" fillId="3" borderId="1" applyAlignment="1" pivotButton="0" quotePrefix="0" xfId="0">
      <alignment horizontal="center" vertical="center"/>
    </xf>
    <xf numFmtId="49" fontId="2" fillId="4" borderId="1" applyAlignment="1" pivotButton="0" quotePrefix="0" xfId="0">
      <alignment horizontal="center"/>
    </xf>
    <xf numFmtId="14" fontId="2" fillId="4" borderId="1" applyAlignment="1" pivotButton="0" quotePrefix="0" xfId="0">
      <alignment horizontal="center" vertical="center"/>
    </xf>
    <xf numFmtId="14" fontId="2" fillId="0" borderId="1" applyAlignment="1" pivotButton="0" quotePrefix="0" xfId="0">
      <alignment horizontal="center" vertical="center"/>
    </xf>
    <xf numFmtId="0" fontId="2" fillId="0" borderId="1" applyAlignment="1" pivotButton="0" quotePrefix="0" xfId="0">
      <alignment horizontal="left" vertical="center" wrapText="1"/>
    </xf>
    <xf numFmtId="0" fontId="2" fillId="0" borderId="0" pivotButton="0" quotePrefix="0" xfId="0"/>
    <xf numFmtId="0" fontId="2" fillId="0" borderId="0" applyAlignment="1" pivotButton="0" quotePrefix="0" xfId="0">
      <alignment horizontal="center"/>
    </xf>
    <xf numFmtId="14" fontId="2" fillId="4" borderId="1" applyAlignment="1" pivotButton="0" quotePrefix="0" xfId="0">
      <alignment horizontal="center" vertical="center" wrapText="1"/>
    </xf>
    <xf numFmtId="0" fontId="0" fillId="0" borderId="1" applyAlignment="1" pivotButton="0" quotePrefix="0" xfId="0">
      <alignment vertical="center"/>
    </xf>
    <xf numFmtId="14" fontId="2" fillId="0" borderId="1" applyAlignment="1" pivotButton="0" quotePrefix="0" xfId="0">
      <alignment horizontal="center" vertical="center" wrapText="1"/>
    </xf>
    <xf numFmtId="0" fontId="1" fillId="0" borderId="0" applyAlignment="1" pivotButton="0" quotePrefix="0" xfId="0">
      <alignment horizontal="center" vertical="center"/>
    </xf>
    <xf numFmtId="14" fontId="2" fillId="3" borderId="1" applyAlignment="1" pivotButton="0" quotePrefix="0" xfId="0">
      <alignment horizontal="center"/>
    </xf>
    <xf numFmtId="14" fontId="2" fillId="0" borderId="1" applyAlignment="1" pivotButton="0" quotePrefix="0" xfId="0">
      <alignment horizontal="center"/>
    </xf>
    <xf numFmtId="0" fontId="2" fillId="0" borderId="1" applyAlignment="1" pivotButton="0" quotePrefix="0" xfId="0">
      <alignment wrapText="1"/>
    </xf>
    <xf numFmtId="0" fontId="2" fillId="0" borderId="1" applyAlignment="1" pivotButton="0" quotePrefix="0" xfId="0">
      <alignment horizontal="center" vertical="center" wrapText="1"/>
    </xf>
    <xf numFmtId="0" fontId="4" fillId="0" borderId="1" applyAlignment="1" pivotButton="0" quotePrefix="0" xfId="0">
      <alignment vertical="center"/>
    </xf>
    <xf numFmtId="0" fontId="2" fillId="0" borderId="0" applyAlignment="1" pivotButton="0" quotePrefix="0" xfId="0">
      <alignment horizontal="center" vertical="center"/>
    </xf>
    <xf numFmtId="0" fontId="6" fillId="0" borderId="0" applyAlignment="1" pivotButton="0" quotePrefix="0" xfId="0">
      <alignment vertical="center"/>
    </xf>
    <xf numFmtId="0" fontId="7" fillId="0" borderId="0" applyAlignment="1" pivotButton="0" quotePrefix="0" xfId="0">
      <alignment vertical="center"/>
    </xf>
    <xf numFmtId="0" fontId="2" fillId="0" borderId="0" applyAlignment="1" pivotButton="0" quotePrefix="0" xfId="0">
      <alignment horizontal="left"/>
    </xf>
    <xf numFmtId="0" fontId="2" fillId="0" borderId="0" applyAlignment="1" pivotButton="0" quotePrefix="0" xfId="0">
      <alignment vertical="center"/>
    </xf>
    <xf numFmtId="0" fontId="2" fillId="5" borderId="1" applyAlignment="1" pivotButton="0" quotePrefix="0" xfId="0">
      <alignment horizontal="center" vertical="center"/>
    </xf>
    <xf numFmtId="0" fontId="8" fillId="6" borderId="1" applyAlignment="1" pivotButton="0" quotePrefix="0" xfId="0">
      <alignment horizontal="left"/>
    </xf>
    <xf numFmtId="0" fontId="8" fillId="6" borderId="1" applyAlignment="1" pivotButton="0" quotePrefix="0" xfId="0">
      <alignment horizontal="center"/>
    </xf>
    <xf numFmtId="0" fontId="8" fillId="6" borderId="1" applyAlignment="1" pivotButton="0" quotePrefix="0" xfId="0">
      <alignment horizontal="center" vertical="center"/>
    </xf>
    <xf numFmtId="0" fontId="8" fillId="6" borderId="1" pivotButton="0" quotePrefix="0" xfId="0"/>
    <xf numFmtId="14" fontId="8" fillId="7" borderId="1" applyAlignment="1" pivotButton="0" quotePrefix="0" xfId="0">
      <alignment horizontal="center" vertical="center"/>
    </xf>
    <xf numFmtId="0" fontId="8" fillId="0" borderId="0" pivotButton="0" quotePrefix="0" xfId="0"/>
    <xf numFmtId="14" fontId="9" fillId="3" borderId="1" applyAlignment="1" pivotButton="0" quotePrefix="0" xfId="0">
      <alignment horizontal="center" vertical="center"/>
    </xf>
    <xf numFmtId="0" fontId="2" fillId="8" borderId="1" pivotButton="0" quotePrefix="0" xfId="0"/>
    <xf numFmtId="0" fontId="2" fillId="8" borderId="1" applyAlignment="1" pivotButton="0" quotePrefix="0" xfId="0">
      <alignment vertical="center"/>
    </xf>
    <xf numFmtId="0" fontId="2" fillId="9" borderId="1" applyAlignment="1" pivotButton="0" quotePrefix="0" xfId="0">
      <alignment horizontal="left"/>
    </xf>
    <xf numFmtId="0" fontId="10" fillId="0" borderId="1" applyAlignment="1" pivotButton="0" quotePrefix="0" xfId="0">
      <alignment vertical="center"/>
    </xf>
    <xf numFmtId="0" fontId="11" fillId="0" borderId="1" pivotButton="0" quotePrefix="0" xfId="0"/>
    <xf numFmtId="0" fontId="11" fillId="0" borderId="1" applyAlignment="1" pivotButton="0" quotePrefix="0" xfId="0">
      <alignment horizontal="left"/>
    </xf>
    <xf numFmtId="0" fontId="11" fillId="0" borderId="1" applyAlignment="1" pivotButton="0" quotePrefix="0" xfId="0">
      <alignment vertical="center"/>
    </xf>
    <xf numFmtId="0" fontId="11" fillId="0" borderId="1" applyAlignment="1" pivotButton="0" quotePrefix="0" xfId="0">
      <alignment horizontal="center"/>
    </xf>
    <xf numFmtId="0" fontId="11" fillId="0" borderId="1" applyAlignment="1" pivotButton="0" quotePrefix="0" xfId="0">
      <alignment horizontal="center" vertical="center"/>
    </xf>
    <xf numFmtId="14" fontId="11" fillId="0" borderId="1" applyAlignment="1" pivotButton="0" quotePrefix="0" xfId="0">
      <alignment horizontal="center" vertical="center"/>
    </xf>
    <xf numFmtId="0" fontId="11" fillId="0" borderId="0" pivotButton="0" quotePrefix="0" xfId="0"/>
    <xf numFmtId="0" fontId="11" fillId="3" borderId="1" applyAlignment="1" pivotButton="0" quotePrefix="0" xfId="0">
      <alignment horizontal="left"/>
    </xf>
    <xf numFmtId="0" fontId="11" fillId="3" borderId="1" applyAlignment="1" pivotButton="0" quotePrefix="0" xfId="0">
      <alignment horizontal="center"/>
    </xf>
    <xf numFmtId="0" fontId="11" fillId="3" borderId="1" applyAlignment="1" pivotButton="0" quotePrefix="0" xfId="0">
      <alignment horizontal="center" vertical="center"/>
    </xf>
    <xf numFmtId="0" fontId="11" fillId="3" borderId="1" pivotButton="0" quotePrefix="0" xfId="0"/>
    <xf numFmtId="14" fontId="11" fillId="3" borderId="1" applyAlignment="1" pivotButton="0" quotePrefix="0" xfId="0">
      <alignment horizontal="center" vertical="center"/>
    </xf>
    <xf numFmtId="0" fontId="12" fillId="3" borderId="1" pivotButton="0" quotePrefix="0" xfId="0"/>
    <xf numFmtId="0" fontId="8" fillId="6" borderId="1" applyAlignment="1" pivotButton="0" quotePrefix="0" xfId="0">
      <alignment vertical="center"/>
    </xf>
    <xf numFmtId="0" fontId="13" fillId="0" borderId="0" applyAlignment="1" pivotButton="0" quotePrefix="0" xfId="0">
      <alignment vertical="center"/>
    </xf>
    <xf numFmtId="0" fontId="1" fillId="10" borderId="0" applyAlignment="1" pivotButton="0" quotePrefix="0" xfId="0">
      <alignment vertical="center"/>
    </xf>
    <xf numFmtId="0" fontId="14" fillId="10" borderId="4" applyAlignment="1" pivotButton="0" quotePrefix="0" xfId="0">
      <alignment horizontal="center" vertical="center" wrapText="1"/>
    </xf>
    <xf numFmtId="164" fontId="15" fillId="11" borderId="5" applyAlignment="1" pivotButton="0" quotePrefix="0" xfId="0">
      <alignment horizontal="center"/>
    </xf>
    <xf numFmtId="0" fontId="0" fillId="0" borderId="6" pivotButton="0" quotePrefix="0" xfId="0"/>
    <xf numFmtId="0" fontId="0" fillId="0" borderId="7" pivotButton="0" quotePrefix="0" xfId="0"/>
    <xf numFmtId="0" fontId="0" fillId="0" borderId="8" pivotButton="0" quotePrefix="0" xfId="0"/>
    <xf numFmtId="0" fontId="16" fillId="10" borderId="9" applyAlignment="1" pivotButton="0" quotePrefix="0" xfId="0">
      <alignment horizontal="center"/>
    </xf>
    <xf numFmtId="0" fontId="16" fillId="10" borderId="10" applyAlignment="1" pivotButton="0" quotePrefix="0" xfId="0">
      <alignment horizontal="center"/>
    </xf>
    <xf numFmtId="0" fontId="16" fillId="10" borderId="11" applyAlignment="1" pivotButton="0" quotePrefix="0" xfId="0">
      <alignment horizontal="center"/>
    </xf>
    <xf numFmtId="0" fontId="16" fillId="10" borderId="12" applyAlignment="1" pivotButton="0" quotePrefix="0" xfId="0">
      <alignment horizontal="center"/>
    </xf>
    <xf numFmtId="0" fontId="17" fillId="10" borderId="13" applyAlignment="1" pivotButton="0" quotePrefix="0" xfId="0">
      <alignment horizontal="center" vertical="center" wrapText="1"/>
    </xf>
    <xf numFmtId="0" fontId="18" fillId="10" borderId="14" applyAlignment="1" pivotButton="0" quotePrefix="0" xfId="0">
      <alignment horizontal="center"/>
    </xf>
    <xf numFmtId="0" fontId="14" fillId="10" borderId="9" applyAlignment="1" pivotButton="0" quotePrefix="0" xfId="0">
      <alignment horizontal="center" vertical="center" wrapText="1"/>
    </xf>
    <xf numFmtId="0" fontId="19" fillId="10" borderId="15" pivotButton="0" quotePrefix="0" xfId="0"/>
    <xf numFmtId="0" fontId="19" fillId="10" borderId="16" pivotButton="0" quotePrefix="0" xfId="0"/>
    <xf numFmtId="0" fontId="14" fillId="10" borderId="17" applyAlignment="1" pivotButton="0" quotePrefix="0" xfId="0">
      <alignment horizontal="center" vertical="center" wrapText="1"/>
    </xf>
    <xf numFmtId="0" fontId="19" fillId="10" borderId="18" pivotButton="0" quotePrefix="0" xfId="0"/>
    <xf numFmtId="0" fontId="19" fillId="10" borderId="19" pivotButton="0" quotePrefix="0" xfId="0"/>
    <xf numFmtId="0" fontId="14" fillId="10" borderId="20" applyAlignment="1" pivotButton="0" quotePrefix="0" xfId="0">
      <alignment horizontal="center" vertical="center" wrapText="1"/>
    </xf>
    <xf numFmtId="0" fontId="19" fillId="10" borderId="21" pivotButton="0" quotePrefix="0" xfId="0"/>
    <xf numFmtId="0" fontId="19" fillId="10" borderId="22" pivotButton="0" quotePrefix="0" xfId="0"/>
    <xf numFmtId="0" fontId="19" fillId="10" borderId="0" pivotButton="0" quotePrefix="0" xfId="0"/>
    <xf numFmtId="0" fontId="20" fillId="10" borderId="0" pivotButton="0" quotePrefix="0" xfId="0"/>
    <xf numFmtId="0" fontId="21" fillId="12" borderId="23" applyAlignment="1" pivotButton="0" quotePrefix="0" xfId="0">
      <alignment horizontal="center" vertical="center"/>
    </xf>
    <xf numFmtId="0" fontId="21" fillId="10" borderId="10" applyAlignment="1" pivotButton="0" quotePrefix="0" xfId="0">
      <alignment horizontal="center" vertical="center"/>
    </xf>
    <xf numFmtId="0" fontId="0" fillId="0" borderId="14" pivotButton="0" quotePrefix="0" xfId="0"/>
    <xf numFmtId="0" fontId="0" fillId="0" borderId="24" pivotButton="0" quotePrefix="0" xfId="0"/>
    <xf numFmtId="0" fontId="22" fillId="10" borderId="10" applyAlignment="1" pivotButton="0" quotePrefix="0" xfId="0">
      <alignment horizontal="center" vertical="center"/>
    </xf>
    <xf numFmtId="14" fontId="22" fillId="10" borderId="10" applyAlignment="1" pivotButton="0" quotePrefix="0" xfId="0">
      <alignment horizontal="center" vertical="center"/>
    </xf>
    <xf numFmtId="3" fontId="22" fillId="10" borderId="10" applyAlignment="1" pivotButton="0" quotePrefix="0" xfId="0">
      <alignment horizontal="center" vertical="center"/>
    </xf>
    <xf numFmtId="164" fontId="15" fillId="11" borderId="5" applyAlignment="1" pivotButton="0" quotePrefix="0" xfId="0">
      <alignment horizontal="center"/>
    </xf>
    <xf numFmtId="0" fontId="0" fillId="0" borderId="41" pivotButton="0" quotePrefix="0" xfId="0"/>
    <xf numFmtId="0" fontId="45" fillId="45" borderId="44" applyAlignment="1" pivotButton="0" quotePrefix="0" xfId="0">
      <alignment horizontal="center" vertical="center"/>
    </xf>
    <xf numFmtId="0" fontId="0" fillId="45" borderId="44" pivotButton="0" quotePrefix="0" xfId="0"/>
    <xf numFmtId="166" fontId="43" fillId="43" borderId="44" applyAlignment="1" pivotButton="0" quotePrefix="0" xfId="0">
      <alignment horizontal="center" vertical="center"/>
    </xf>
    <xf numFmtId="166" fontId="44" fillId="44" borderId="44" applyAlignment="1" pivotButton="0" quotePrefix="0" xfId="0">
      <alignment horizontal="center" vertical="center"/>
    </xf>
    <xf numFmtId="0" fontId="46" fillId="46" borderId="1" applyAlignment="1" pivotButton="0" quotePrefix="0" xfId="0">
      <alignment horizontal="left"/>
    </xf>
    <xf numFmtId="0" fontId="46" fillId="46" borderId="1" applyAlignment="1" pivotButton="0" quotePrefix="0" xfId="0">
      <alignment horizontal="center"/>
    </xf>
    <xf numFmtId="0" fontId="46" fillId="46" borderId="1" applyAlignment="1" pivotButton="0" quotePrefix="0" xfId="0">
      <alignment horizontal="center" vertical="center"/>
    </xf>
    <xf numFmtId="0" fontId="46" fillId="46" borderId="1" pivotButton="0" quotePrefix="0" xfId="0"/>
    <xf numFmtId="14" fontId="46" fillId="46" borderId="1" applyAlignment="1" pivotButton="0" quotePrefix="0" xfId="0">
      <alignment horizontal="center" vertical="center"/>
    </xf>
    <xf numFmtId="165" fontId="46" fillId="46" borderId="1" applyAlignment="1" pivotButton="0" quotePrefix="0" xfId="0">
      <alignment horizontal="center" vertical="center"/>
    </xf>
    <xf numFmtId="0" fontId="8" fillId="0" borderId="43" pivotButton="0" quotePrefix="0" xfId="0"/>
    <xf numFmtId="0" fontId="47" fillId="3" borderId="1" pivotButton="0" quotePrefix="0" xfId="0"/>
    <xf numFmtId="165" fontId="2" fillId="3" borderId="1" applyAlignment="1" pivotButton="0" quotePrefix="0" xfId="0">
      <alignment horizontal="center" vertical="center"/>
    </xf>
    <xf numFmtId="0" fontId="0" fillId="0" borderId="43" pivotButton="0" quotePrefix="0" xfId="0"/>
    <xf numFmtId="0" fontId="46" fillId="46" borderId="1" applyAlignment="1" pivotButton="0" quotePrefix="0" xfId="0">
      <alignment vertical="center"/>
    </xf>
    <xf numFmtId="165" fontId="46" fillId="46" borderId="1" applyAlignment="1" pivotButton="0" quotePrefix="0" xfId="0">
      <alignment horizontal="center" vertical="center" wrapText="1"/>
    </xf>
    <xf numFmtId="0" fontId="46" fillId="46" borderId="1" applyAlignment="1" pivotButton="0" quotePrefix="0" xfId="0">
      <alignment horizontal="center" vertical="center" wrapText="1"/>
    </xf>
    <xf numFmtId="0" fontId="47" fillId="9" borderId="1" applyAlignment="1" pivotButton="0" quotePrefix="0" xfId="0">
      <alignment horizontal="left"/>
    </xf>
    <xf numFmtId="165" fontId="2" fillId="0" borderId="1" applyAlignment="1" pivotButton="0" quotePrefix="0" xfId="0">
      <alignment horizontal="center" vertical="center"/>
    </xf>
    <xf numFmtId="0" fontId="47" fillId="3" borderId="1" applyAlignment="1" pivotButton="0" quotePrefix="0" xfId="0">
      <alignment horizontal="left"/>
    </xf>
    <xf numFmtId="0" fontId="11" fillId="0" borderId="43" pivotButton="0" quotePrefix="0" xfId="0"/>
    <xf numFmtId="165" fontId="11" fillId="3" borderId="1" applyAlignment="1" pivotButton="0" quotePrefix="0" xfId="0">
      <alignment horizontal="center" vertical="center"/>
    </xf>
    <xf numFmtId="165" fontId="11" fillId="0" borderId="1" applyAlignment="1" pivotButton="0" quotePrefix="0" xfId="0">
      <alignment horizontal="center" vertical="center"/>
    </xf>
    <xf numFmtId="0" fontId="47" fillId="3" borderId="1" applyAlignment="1" pivotButton="0" quotePrefix="0" xfId="0">
      <alignment horizontal="left" vertical="center"/>
    </xf>
    <xf numFmtId="165" fontId="0" fillId="0" borderId="0" pivotButton="0" quotePrefix="0" xfId="0"/>
    <xf numFmtId="0" fontId="0" fillId="0" borderId="0" applyAlignment="1" pivotButton="0" quotePrefix="0" xfId="0">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7" xfId="49"/>
  </cellStyles>
  <dxfs count="6">
    <dxf>
      <fill>
        <patternFill patternType="solid">
          <fgColor rgb="00F59E0B"/>
          <bgColor rgb="00F59E0B"/>
        </patternFill>
      </fill>
    </dxf>
    <dxf>
      <fill>
        <patternFill patternType="solid">
          <fgColor rgb="0010B981"/>
          <bgColor rgb="0010B981"/>
        </patternFill>
      </fill>
    </dxf>
    <dxf>
      <fill>
        <patternFill patternType="solid">
          <fgColor rgb="001E293B"/>
          <bgColor rgb="001E293B"/>
        </patternFill>
      </fill>
    </dxf>
    <dxf>
      <fill>
        <patternFill patternType="solid">
          <fgColor rgb="000F766E"/>
          <bgColor rgb="000F766E"/>
        </patternFill>
      </fill>
    </dxf>
    <dxf>
      <fill>
        <patternFill patternType="solid">
          <fgColor rgb="000EA5E9"/>
          <bgColor rgb="000EA5E9"/>
        </patternFill>
      </fill>
    </dxf>
    <dxf>
      <fill>
        <patternFill patternType="solid">
          <fgColor rgb="00F1F5F9"/>
          <bgColor rgb="00F1F5F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0" summaryRight="0"/>
    <pageSetUpPr/>
  </sheetPr>
  <dimension ref="A2:AE16"/>
  <sheetViews>
    <sheetView showGridLines="0" topLeftCell="A4" zoomScale="70" zoomScaleNormal="70" workbookViewId="0">
      <selection activeCell="O13" sqref="O13"/>
    </sheetView>
  </sheetViews>
  <sheetFormatPr baseColWidth="8" defaultColWidth="8.8359375" defaultRowHeight="14" customHeight="1" outlineLevelCol="0"/>
  <cols>
    <col width="11.3359375" customWidth="1" style="1" min="1" max="1"/>
  </cols>
  <sheetData>
    <row r="2" ht="18" customFormat="1" customHeight="1" s="90">
      <c r="A2" s="91" t="inlineStr">
        <is>
          <t>时间</t>
        </is>
      </c>
      <c r="B2" s="120" t="n">
        <v>46266</v>
      </c>
      <c r="C2" s="93" t="n"/>
      <c r="D2" s="93" t="n"/>
      <c r="E2" s="94" t="n"/>
      <c r="F2" s="120" t="n">
        <v>45170</v>
      </c>
      <c r="G2" s="93" t="n"/>
      <c r="H2" s="93" t="n"/>
      <c r="I2" s="94" t="n"/>
      <c r="J2" s="120" t="n">
        <v>45200</v>
      </c>
      <c r="K2" s="93" t="n"/>
      <c r="L2" s="93" t="n"/>
      <c r="M2" s="93" t="n"/>
      <c r="N2" s="94" t="n"/>
      <c r="O2" s="120" t="n">
        <v>45231</v>
      </c>
      <c r="P2" s="93" t="n"/>
      <c r="Q2" s="93" t="n"/>
      <c r="R2" s="94" t="n"/>
      <c r="S2" s="120" t="n">
        <v>45261</v>
      </c>
      <c r="T2" s="93" t="n"/>
      <c r="U2" s="93" t="n"/>
      <c r="V2" s="94" t="n"/>
      <c r="W2" s="120" t="n">
        <v>45292</v>
      </c>
      <c r="X2" s="93" t="n"/>
      <c r="Y2" s="93" t="n"/>
      <c r="Z2" s="93" t="n"/>
      <c r="AA2" s="94" t="n"/>
      <c r="AB2" s="120" t="n">
        <v>45323</v>
      </c>
      <c r="AC2" s="93" t="n"/>
      <c r="AD2" s="93" t="n"/>
      <c r="AE2" s="94" t="n"/>
    </row>
    <row r="3" ht="16.5" customFormat="1" customHeight="1" s="90">
      <c r="A3" s="95" t="n"/>
      <c r="B3" s="96" t="n">
        <v>1</v>
      </c>
      <c r="C3" s="97">
        <f>B3+7</f>
        <v/>
      </c>
      <c r="D3" s="97">
        <f>C3+7</f>
        <v/>
      </c>
      <c r="E3" s="98">
        <f>D3+7</f>
        <v/>
      </c>
      <c r="F3" s="96" t="n">
        <v>4</v>
      </c>
      <c r="G3" s="97">
        <f>F3+7</f>
        <v/>
      </c>
      <c r="H3" s="97">
        <f>G3+7</f>
        <v/>
      </c>
      <c r="I3" s="97">
        <f>H3+7</f>
        <v/>
      </c>
      <c r="J3" s="96" t="n">
        <v>2</v>
      </c>
      <c r="K3" s="97">
        <f>J3+7</f>
        <v/>
      </c>
      <c r="L3" s="97">
        <f>K3+7</f>
        <v/>
      </c>
      <c r="M3" s="97">
        <f>L3+7</f>
        <v/>
      </c>
      <c r="N3" s="97">
        <f>M3+7</f>
        <v/>
      </c>
      <c r="O3" s="96" t="n">
        <v>6</v>
      </c>
      <c r="P3" s="97">
        <f>O3+7</f>
        <v/>
      </c>
      <c r="Q3" s="97">
        <f>P3+7</f>
        <v/>
      </c>
      <c r="R3" s="99">
        <f>Q3+7</f>
        <v/>
      </c>
      <c r="S3" s="96" t="n">
        <v>4</v>
      </c>
      <c r="T3" s="97">
        <f>S3+7</f>
        <v/>
      </c>
      <c r="U3" s="97">
        <f>T3+7</f>
        <v/>
      </c>
      <c r="V3" s="98">
        <f>U3+7</f>
        <v/>
      </c>
      <c r="W3" s="98" t="n">
        <v>1</v>
      </c>
      <c r="X3" s="97">
        <f>W3+7</f>
        <v/>
      </c>
      <c r="Y3" s="97">
        <f>X3+7</f>
        <v/>
      </c>
      <c r="Z3" s="98">
        <f>Y3+7</f>
        <v/>
      </c>
      <c r="AA3" s="98">
        <f>Z3+7</f>
        <v/>
      </c>
      <c r="AB3" s="98" t="n">
        <v>5</v>
      </c>
      <c r="AC3" s="97">
        <f>AB3+7</f>
        <v/>
      </c>
      <c r="AD3" s="97">
        <f>AC3+7</f>
        <v/>
      </c>
      <c r="AE3" s="98">
        <f>AD3+7</f>
        <v/>
      </c>
    </row>
    <row r="4" ht="43" customFormat="1" customHeight="1" s="90">
      <c r="A4" s="100" t="n"/>
      <c r="B4" s="101" t="n"/>
      <c r="C4" s="101" t="n"/>
      <c r="D4" s="101" t="n"/>
      <c r="E4" s="101" t="n"/>
      <c r="F4" s="101" t="n"/>
      <c r="G4" s="101" t="n"/>
      <c r="H4" s="101" t="n"/>
      <c r="I4" s="101" t="n"/>
      <c r="J4" s="101" t="n"/>
      <c r="K4" s="101" t="n"/>
      <c r="L4" s="101" t="n"/>
      <c r="M4" s="101" t="n"/>
      <c r="N4" s="101" t="n"/>
      <c r="O4" s="101" t="n"/>
      <c r="P4" s="101" t="n"/>
      <c r="Q4" s="101" t="n"/>
      <c r="R4" s="101" t="n"/>
      <c r="S4" s="101" t="n"/>
      <c r="T4" s="101" t="n"/>
      <c r="U4" s="101" t="n"/>
      <c r="V4" s="101" t="n"/>
      <c r="W4" s="101" t="n"/>
      <c r="X4" s="101" t="n"/>
      <c r="Y4" s="101" t="n"/>
      <c r="Z4" s="101" t="n"/>
      <c r="AA4" s="101" t="n"/>
      <c r="AB4" s="101" t="n"/>
      <c r="AC4" s="101" t="n"/>
      <c r="AD4" s="101" t="n"/>
      <c r="AE4" s="101" t="n"/>
    </row>
    <row r="5" ht="204" customFormat="1" customHeight="1" s="90">
      <c r="A5" s="102" t="inlineStr">
        <is>
          <t>实施</t>
        </is>
      </c>
      <c r="B5" s="103" t="n"/>
      <c r="C5" s="104" t="n"/>
      <c r="D5" s="103" t="n"/>
      <c r="E5" s="103" t="n"/>
      <c r="F5" s="103" t="n"/>
      <c r="G5" s="103" t="n"/>
      <c r="H5" s="103" t="n"/>
      <c r="I5" s="103" t="n"/>
      <c r="J5" s="104" t="n"/>
      <c r="K5" s="103" t="n"/>
      <c r="L5" s="103" t="n"/>
      <c r="M5" s="103" t="n"/>
      <c r="N5" s="103" t="n"/>
      <c r="O5" s="103" t="n"/>
      <c r="P5" s="103" t="n"/>
      <c r="Q5" s="103" t="n"/>
      <c r="R5" s="104" t="n"/>
      <c r="S5" s="104" t="n"/>
      <c r="T5" s="104" t="n"/>
      <c r="U5" s="104" t="n"/>
      <c r="V5" s="103" t="n"/>
      <c r="W5" s="104" t="n"/>
      <c r="X5" s="104" t="n"/>
      <c r="Y5" s="104" t="n"/>
      <c r="Z5" s="103" t="n"/>
      <c r="AA5" s="103" t="n"/>
      <c r="AB5" s="104" t="n"/>
      <c r="AC5" s="104" t="n"/>
      <c r="AD5" s="104" t="n"/>
      <c r="AE5" s="103" t="n"/>
    </row>
    <row r="6" ht="175" customFormat="1" customHeight="1" s="90">
      <c r="A6" s="105" t="inlineStr">
        <is>
          <t>开发</t>
        </is>
      </c>
      <c r="B6" s="106" t="n"/>
      <c r="C6" s="107" t="n"/>
      <c r="D6" s="106" t="n"/>
      <c r="E6" s="106" t="n"/>
      <c r="F6" s="106" t="n"/>
      <c r="G6" s="106" t="n"/>
      <c r="H6" s="106" t="n"/>
      <c r="I6" s="106" t="n"/>
      <c r="J6" s="106" t="n"/>
      <c r="K6" s="106" t="n"/>
      <c r="L6" s="107" t="n"/>
      <c r="M6" s="107" t="n"/>
      <c r="N6" s="107" t="n"/>
      <c r="O6" s="107" t="n"/>
      <c r="P6" s="107" t="n"/>
      <c r="Q6" s="107" t="n"/>
      <c r="R6" s="107" t="n"/>
      <c r="S6" s="107" t="n"/>
      <c r="T6" s="107" t="n"/>
      <c r="U6" s="107" t="n"/>
      <c r="V6" s="106" t="n"/>
      <c r="W6" s="107" t="n"/>
      <c r="X6" s="107" t="n"/>
      <c r="Y6" s="107" t="n"/>
      <c r="Z6" s="106" t="n"/>
      <c r="AA6" s="106" t="n"/>
      <c r="AB6" s="107" t="n"/>
      <c r="AC6" s="107" t="n"/>
      <c r="AD6" s="107" t="n"/>
      <c r="AE6" s="106" t="n"/>
    </row>
    <row r="7" ht="134.25" customFormat="1" customHeight="1" s="90">
      <c r="A7" s="108" t="inlineStr">
        <is>
          <t>用户&amp;IT</t>
        </is>
      </c>
      <c r="B7" s="109" t="n"/>
      <c r="C7" s="110" t="n"/>
      <c r="D7" s="109" t="n"/>
      <c r="E7" s="109" t="n"/>
      <c r="F7" s="109" t="n"/>
      <c r="G7" s="109" t="n"/>
      <c r="H7" s="109" t="n"/>
      <c r="I7" s="109" t="n"/>
      <c r="J7" s="109" t="n"/>
      <c r="K7" s="109" t="n"/>
      <c r="L7" s="110" t="n"/>
      <c r="M7" s="110" t="n"/>
      <c r="N7" s="110" t="n"/>
      <c r="O7" s="110" t="n"/>
      <c r="P7" s="110" t="n"/>
      <c r="Q7" s="110" t="n"/>
      <c r="R7" s="110" t="n"/>
      <c r="S7" s="110" t="n"/>
      <c r="T7" s="110" t="n"/>
      <c r="U7" s="110" t="n"/>
      <c r="V7" s="109" t="n"/>
      <c r="W7" s="110" t="n"/>
      <c r="X7" s="110" t="n"/>
      <c r="Y7" s="110" t="n"/>
      <c r="Z7" s="109" t="n"/>
      <c r="AA7" s="109" t="n"/>
      <c r="AB7" s="110" t="n"/>
      <c r="AC7" s="110" t="n"/>
      <c r="AD7" s="110" t="n"/>
      <c r="AE7" s="109" t="n"/>
    </row>
    <row r="8" ht="13.85" customFormat="1" customHeight="1" s="90">
      <c r="A8" s="111" t="n"/>
      <c r="B8" s="111" t="n"/>
      <c r="C8" s="111" t="n"/>
      <c r="D8" s="111" t="n"/>
      <c r="E8" s="111" t="n"/>
      <c r="F8" s="111" t="n"/>
      <c r="G8" s="111" t="n"/>
      <c r="H8" s="111" t="n"/>
      <c r="I8" s="111" t="n"/>
      <c r="J8" s="111" t="n"/>
      <c r="K8" s="111" t="n"/>
      <c r="L8" s="112" t="n"/>
      <c r="M8" s="111" t="n"/>
      <c r="N8" s="111" t="n"/>
    </row>
    <row r="9" ht="27.5" customFormat="1" customHeight="1" s="90">
      <c r="A9" s="113" t="inlineStr">
        <is>
          <t>里程碑节点说明</t>
        </is>
      </c>
      <c r="K9" s="111" t="n"/>
      <c r="L9" s="112" t="n"/>
      <c r="M9" s="111" t="n"/>
      <c r="N9" s="111" t="n"/>
    </row>
    <row r="10" ht="28" customFormat="1" customHeight="1" s="90">
      <c r="A10" s="114" t="inlineStr">
        <is>
          <t>序号</t>
        </is>
      </c>
      <c r="B10" s="114" t="inlineStr">
        <is>
          <t>里程碑</t>
        </is>
      </c>
      <c r="C10" s="115" t="n"/>
      <c r="D10" s="116" t="n"/>
      <c r="E10" s="114" t="inlineStr">
        <is>
          <t>开始时间</t>
        </is>
      </c>
      <c r="F10" s="116" t="n"/>
      <c r="G10" s="114" t="inlineStr">
        <is>
          <t>结束时间</t>
        </is>
      </c>
      <c r="H10" s="116" t="n"/>
      <c r="I10" s="114" t="inlineStr">
        <is>
          <t>天数</t>
        </is>
      </c>
      <c r="J10" s="116" t="n"/>
      <c r="K10" s="111" t="n"/>
      <c r="L10" s="111" t="n"/>
      <c r="M10" s="111" t="n"/>
      <c r="N10" s="111" t="n"/>
    </row>
    <row r="11" ht="28" customFormat="1" customHeight="1" s="90">
      <c r="A11" s="117" t="n">
        <v>1</v>
      </c>
      <c r="B11" s="117" t="inlineStr">
        <is>
          <t>项目启动会</t>
        </is>
      </c>
      <c r="C11" s="115" t="n"/>
      <c r="D11" s="116" t="n"/>
      <c r="E11" s="118">
        <f>主计划!N15</f>
        <v/>
      </c>
      <c r="F11" s="116" t="n"/>
      <c r="G11" s="118">
        <f>主计划!O15</f>
        <v/>
      </c>
      <c r="H11" s="116" t="n"/>
      <c r="I11" s="119">
        <f>NETWORKDAYS(E11,G11,法定节假日!B2:B34)</f>
        <v/>
      </c>
      <c r="J11" s="116" t="n"/>
      <c r="K11" s="111" t="n"/>
      <c r="L11" s="111" t="n"/>
      <c r="M11" s="111" t="n"/>
      <c r="N11" s="111" t="n"/>
    </row>
    <row r="12" ht="28" customFormat="1" customHeight="1" s="90">
      <c r="A12" s="117" t="n">
        <v>2</v>
      </c>
      <c r="B12" s="117" t="inlineStr">
        <is>
          <t>蓝图评审</t>
        </is>
      </c>
      <c r="C12" s="115" t="n"/>
      <c r="D12" s="116" t="n"/>
      <c r="E12" s="118">
        <f>主计划!N28</f>
        <v/>
      </c>
      <c r="F12" s="116" t="n"/>
      <c r="G12" s="118">
        <f>主计划!O28</f>
        <v/>
      </c>
      <c r="H12" s="116" t="n"/>
      <c r="I12" s="119">
        <f>NETWORKDAYS(E12,G12,法定节假日!B2:B34)</f>
        <v/>
      </c>
      <c r="J12" s="116" t="n"/>
    </row>
    <row r="13" ht="28" customFormat="1" customHeight="1" s="90">
      <c r="A13" s="117" t="n">
        <v>3</v>
      </c>
      <c r="B13" s="117" t="inlineStr">
        <is>
          <t>详设评审</t>
        </is>
      </c>
      <c r="C13" s="115" t="n"/>
      <c r="D13" s="116" t="n"/>
      <c r="E13" s="118">
        <f>主计划!N33</f>
        <v/>
      </c>
      <c r="F13" s="116" t="n"/>
      <c r="G13" s="118">
        <f>主计划!O33</f>
        <v/>
      </c>
      <c r="H13" s="116" t="n"/>
      <c r="I13" s="119">
        <f>NETWORKDAYS(E13,G13,法定节假日!E2:E34)</f>
        <v/>
      </c>
      <c r="J13" s="116" t="n"/>
    </row>
    <row r="14" ht="28" customFormat="1" customHeight="1" s="90">
      <c r="A14" s="117" t="n">
        <v>4</v>
      </c>
      <c r="B14" s="117" t="inlineStr">
        <is>
          <t>UAT功能交付确认</t>
        </is>
      </c>
      <c r="C14" s="115" t="n"/>
      <c r="D14" s="116" t="n"/>
      <c r="E14" s="118">
        <f>主计划!N61</f>
        <v/>
      </c>
      <c r="F14" s="116" t="n"/>
      <c r="G14" s="118">
        <f>主计划!O61</f>
        <v/>
      </c>
      <c r="H14" s="116" t="n"/>
      <c r="I14" s="119">
        <f>NETWORKDAYS(E14,G14,法定节假日!E2:E34)</f>
        <v/>
      </c>
      <c r="J14" s="116" t="n"/>
    </row>
    <row r="15" ht="28" customFormat="1" customHeight="1" s="90">
      <c r="A15" s="117" t="n">
        <v>5</v>
      </c>
      <c r="B15" s="117" t="inlineStr">
        <is>
          <t>系统上线验收</t>
        </is>
      </c>
      <c r="C15" s="115" t="n"/>
      <c r="D15" s="116" t="n"/>
      <c r="E15" s="118">
        <f>主计划!N83</f>
        <v/>
      </c>
      <c r="F15" s="116" t="n"/>
      <c r="G15" s="118">
        <f>主计划!O83</f>
        <v/>
      </c>
      <c r="H15" s="116" t="n"/>
      <c r="I15" s="119">
        <f>NETWORKDAYS(E15,G15,法定节假日!E2:E34)</f>
        <v/>
      </c>
      <c r="J15" s="116" t="n"/>
    </row>
    <row r="16" ht="28" customFormat="1" customHeight="1" s="90">
      <c r="A16" s="117" t="n">
        <v>6</v>
      </c>
      <c r="B16" s="117" t="inlineStr">
        <is>
          <t>系统竣工验收</t>
        </is>
      </c>
      <c r="C16" s="115" t="n"/>
      <c r="D16" s="116" t="n"/>
      <c r="E16" s="118">
        <f>主计划!N91</f>
        <v/>
      </c>
      <c r="F16" s="116" t="n"/>
      <c r="G16" s="118">
        <f>主计划!O91</f>
        <v/>
      </c>
      <c r="H16" s="116" t="n"/>
      <c r="I16" s="119">
        <f>NETWORKDAYS(E16,G16,法定节假日!E2:E34)</f>
        <v/>
      </c>
      <c r="J16" s="116" t="n"/>
    </row>
  </sheetData>
  <mergeCells count="37">
    <mergeCell ref="B11:D11"/>
    <mergeCell ref="E12:F12"/>
    <mergeCell ref="G12:H12"/>
    <mergeCell ref="B14:D14"/>
    <mergeCell ref="I15:J15"/>
    <mergeCell ref="G11:H11"/>
    <mergeCell ref="I11:J11"/>
    <mergeCell ref="B13:D13"/>
    <mergeCell ref="O2:R2"/>
    <mergeCell ref="E14:F14"/>
    <mergeCell ref="B10:D10"/>
    <mergeCell ref="I16:J16"/>
    <mergeCell ref="E10:F10"/>
    <mergeCell ref="A9:J9"/>
    <mergeCell ref="G10:H10"/>
    <mergeCell ref="E13:F13"/>
    <mergeCell ref="A2:A3"/>
    <mergeCell ref="G13:H13"/>
    <mergeCell ref="B15:D15"/>
    <mergeCell ref="I12:J12"/>
    <mergeCell ref="E15:F15"/>
    <mergeCell ref="G15:H15"/>
    <mergeCell ref="E11:F11"/>
    <mergeCell ref="S2:V2"/>
    <mergeCell ref="G14:H14"/>
    <mergeCell ref="B2:E2"/>
    <mergeCell ref="I14:J14"/>
    <mergeCell ref="B16:D16"/>
    <mergeCell ref="E16:F16"/>
    <mergeCell ref="G16:H16"/>
    <mergeCell ref="W2:AA2"/>
    <mergeCell ref="I10:J10"/>
    <mergeCell ref="F2:I2"/>
    <mergeCell ref="J2:N2"/>
    <mergeCell ref="AB2:AE2"/>
    <mergeCell ref="I13:J13"/>
    <mergeCell ref="B12:D12"/>
  </mergeCell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TB97"/>
  <sheetViews>
    <sheetView tabSelected="1" workbookViewId="0">
      <pane xSplit="20" ySplit="2" topLeftCell="U3" activePane="bottomRight" state="frozen"/>
      <selection pane="topRight"/>
      <selection pane="bottomLeft"/>
      <selection pane="bottomRight" activeCell="A1" sqref="A1"/>
      <selection pane="bottomLeft" activeCell="F25" sqref="F25"/>
    </sheetView>
  </sheetViews>
  <sheetFormatPr baseColWidth="8" defaultColWidth="8.6640625" defaultRowHeight="16.5" customHeight="1" outlineLevelCol="0"/>
  <cols>
    <col width="5.5" customWidth="1" style="61" min="1" max="3"/>
    <col width="6.5" customWidth="1" style="2" min="2" max="2"/>
    <col width="8" customWidth="1" style="2" min="3" max="3"/>
    <col width="30" customWidth="1" style="62" min="4" max="4"/>
    <col width="6" customWidth="1" style="48" min="5" max="5"/>
    <col width="8" customWidth="1" style="48" min="6" max="6"/>
    <col width="9" customWidth="1" style="58" min="7" max="7"/>
    <col width="12" customWidth="1" style="47" min="8" max="8"/>
    <col width="7.5" customWidth="1" style="47" min="9" max="9"/>
    <col width="8" customWidth="1" style="58" min="10" max="12"/>
    <col width="8" customWidth="1" style="2" min="11" max="11"/>
    <col width="7.5" customWidth="1" style="2" min="12" max="12"/>
    <col width="8.5" customWidth="1" style="58" min="13" max="14"/>
    <col width="13" customWidth="1" style="2" min="14" max="14"/>
    <col width="13" customWidth="1" style="47" min="15" max="15"/>
    <col width="9" customWidth="1" style="47" min="16" max="16"/>
    <col width="11" customWidth="1" style="47" min="17" max="17"/>
    <col width="9.5" customWidth="1" style="47" min="18" max="19"/>
    <col width="11" customWidth="1" style="2" min="19" max="19"/>
    <col width="24" customWidth="1" style="47" min="20" max="20"/>
    <col width="2.85" customWidth="1" style="47" min="21" max="41"/>
    <col width="2.85" customWidth="1" style="2" min="22" max="22"/>
    <col width="2.85" customWidth="1" style="2" min="23" max="23"/>
    <col width="2.85" customWidth="1" style="2" min="24" max="24"/>
    <col width="2.85" customWidth="1" style="2" min="25" max="25"/>
    <col width="2.85" customWidth="1" style="2" min="26" max="26"/>
    <col width="2.85" customWidth="1" style="2" min="27" max="27"/>
    <col width="2.85" customWidth="1" style="2" min="28" max="28"/>
    <col width="2.85" customWidth="1" style="2" min="29" max="29"/>
    <col width="2.85" customWidth="1" style="2" min="30" max="30"/>
    <col width="2.85" customWidth="1" style="2" min="31" max="31"/>
    <col width="2.85" customWidth="1" style="2" min="32" max="32"/>
    <col width="2.85" customWidth="1" style="2" min="33" max="33"/>
    <col width="2.85" customWidth="1" style="2" min="34" max="34"/>
    <col width="2.85" customWidth="1" style="2" min="35" max="35"/>
    <col width="2.85" customWidth="1" style="2" min="36" max="36"/>
    <col width="2.85" customWidth="1" style="2" min="37" max="37"/>
    <col width="2.85" customWidth="1" style="2" min="38" max="38"/>
    <col width="2.85" customWidth="1" style="2" min="39" max="39"/>
    <col width="2.85" customWidth="1" style="2" min="40" max="40"/>
    <col width="2.85" customWidth="1" style="2" min="41" max="41"/>
    <col width="2.85" customWidth="1" style="2" min="42" max="16384"/>
    <col width="2.85" customWidth="1" style="2" min="43" max="43"/>
    <col width="2.85" customWidth="1" style="2" min="44" max="44"/>
    <col width="2.85" customWidth="1" style="2" min="45" max="45"/>
    <col width="2.85" customWidth="1" style="2" min="46" max="46"/>
    <col width="2.85" customWidth="1" style="2" min="47" max="47"/>
    <col width="2.85" customWidth="1" style="2" min="48" max="48"/>
    <col width="2.85" customWidth="1" style="2" min="49" max="49"/>
    <col width="2.85" customWidth="1" style="2" min="50" max="50"/>
    <col width="2.85" customWidth="1" style="2" min="51" max="51"/>
    <col width="2.85" customWidth="1" style="2" min="52" max="52"/>
    <col width="2.85" customWidth="1" style="2" min="53" max="53"/>
    <col width="2.85" customWidth="1" style="2" min="54" max="54"/>
    <col width="2.85" customWidth="1" style="2" min="55" max="55"/>
    <col width="2.85" customWidth="1" style="2" min="56" max="56"/>
    <col width="2.85" customWidth="1" style="2" min="57" max="57"/>
    <col width="2.85" customWidth="1" style="2" min="58" max="58"/>
    <col width="2.85" customWidth="1" style="2" min="59" max="59"/>
    <col width="2.85" customWidth="1" style="2" min="60" max="60"/>
    <col width="2.85" customWidth="1" style="2" min="61" max="61"/>
    <col width="2.85" customWidth="1" style="2" min="62" max="62"/>
    <col width="2.85" customWidth="1" style="2" min="63" max="63"/>
    <col width="2.85" customWidth="1" style="2" min="64" max="64"/>
    <col width="2.85" customWidth="1" style="2" min="65" max="65"/>
    <col width="2.85" customWidth="1" style="2" min="66" max="66"/>
    <col width="2.85" customWidth="1" style="2" min="67" max="67"/>
    <col width="2.85" customWidth="1" style="2" min="68" max="68"/>
    <col width="2.85" customWidth="1" style="2" min="69" max="69"/>
    <col width="2.85" customWidth="1" style="2" min="70" max="70"/>
    <col width="2.85" customWidth="1" style="2" min="71" max="71"/>
    <col width="2.85" customWidth="1" style="2" min="72" max="72"/>
    <col width="2.85" customWidth="1" style="2" min="73" max="73"/>
    <col width="2.85" customWidth="1" style="2" min="74" max="74"/>
    <col width="2.85" customWidth="1" style="2" min="75" max="75"/>
    <col width="2.85" customWidth="1" style="2" min="76" max="76"/>
    <col width="2.85" customWidth="1" style="2" min="77" max="77"/>
    <col width="2.85" customWidth="1" style="2" min="78" max="78"/>
    <col width="2.85" customWidth="1" style="2" min="79" max="79"/>
    <col width="2.85" customWidth="1" style="2" min="80" max="80"/>
    <col width="2.85" customWidth="1" style="2" min="81" max="81"/>
    <col width="2.85" customWidth="1" style="2" min="82" max="82"/>
    <col width="2.85" customWidth="1" style="2" min="83" max="83"/>
    <col width="2.85" customWidth="1" style="2" min="84" max="84"/>
    <col width="2.85" customWidth="1" style="2" min="85" max="85"/>
    <col width="2.85" customWidth="1" style="2" min="86" max="86"/>
    <col width="2.85" customWidth="1" style="2" min="87" max="87"/>
    <col width="2.85" customWidth="1" style="2" min="88" max="88"/>
    <col width="2.85" customWidth="1" style="2" min="89" max="89"/>
    <col width="2.85" customWidth="1" style="2" min="90" max="90"/>
    <col width="2.85" customWidth="1" style="2" min="91" max="91"/>
    <col width="2.85" customWidth="1" style="2" min="92" max="92"/>
    <col width="2.85" customWidth="1" style="2" min="93" max="93"/>
    <col width="2.85" customWidth="1" style="2" min="94" max="94"/>
    <col width="2.85" customWidth="1" style="2" min="95" max="95"/>
    <col width="2.85" customWidth="1" style="2" min="96" max="96"/>
    <col width="2.85" customWidth="1" style="2" min="97" max="97"/>
    <col width="2.85" customWidth="1" style="2" min="98" max="98"/>
    <col width="2.85" customWidth="1" style="2" min="99" max="99"/>
    <col width="2.85" customWidth="1" style="2" min="100" max="100"/>
    <col width="2.85" customWidth="1" style="2" min="101" max="101"/>
    <col width="2.85" customWidth="1" style="2" min="102" max="102"/>
    <col width="2.85" customWidth="1" style="2" min="103" max="103"/>
    <col width="2.85" customWidth="1" style="2" min="104" max="104"/>
    <col width="2.85" customWidth="1" style="2" min="105" max="105"/>
    <col width="2.85" customWidth="1" style="2" min="106" max="106"/>
    <col width="2.85" customWidth="1" style="2" min="107" max="107"/>
    <col width="2.85" customWidth="1" style="2" min="108" max="108"/>
    <col width="2.85" customWidth="1" style="2" min="109" max="109"/>
    <col width="2.85" customWidth="1" style="2" min="110" max="110"/>
    <col width="2.85" customWidth="1" style="2" min="111" max="111"/>
    <col width="2.85" customWidth="1" style="2" min="112" max="112"/>
    <col width="2.85" customWidth="1" style="2" min="113" max="113"/>
    <col width="2.85" customWidth="1" style="2" min="114" max="114"/>
    <col width="2.85" customWidth="1" style="2" min="115" max="115"/>
    <col width="2.85" customWidth="1" style="2" min="116" max="116"/>
    <col width="2.85" customWidth="1" style="2" min="117" max="117"/>
    <col width="2.85" customWidth="1" style="2" min="118" max="118"/>
    <col width="2.85" customWidth="1" style="2" min="119" max="119"/>
    <col width="2.85" customWidth="1" style="2" min="120" max="120"/>
    <col width="2.85" customWidth="1" style="2" min="121" max="121"/>
    <col width="2.85" customWidth="1" style="2" min="122" max="122"/>
    <col width="2.85" customWidth="1" style="2" min="123" max="123"/>
    <col width="2.85" customWidth="1" style="2" min="124" max="124"/>
    <col width="2.85" customWidth="1" style="2" min="125" max="125"/>
    <col width="2.85" customWidth="1" style="2" min="126" max="126"/>
    <col width="2.85" customWidth="1" style="2" min="127" max="127"/>
    <col width="2.85" customWidth="1" style="2" min="128" max="128"/>
    <col width="2.85" customWidth="1" style="2" min="129" max="129"/>
    <col width="2.85" customWidth="1" style="2" min="130" max="130"/>
    <col width="2.85" customWidth="1" style="2" min="131" max="131"/>
    <col width="2.85" customWidth="1" style="2" min="132" max="132"/>
    <col width="2.85" customWidth="1" style="2" min="133" max="133"/>
    <col width="2.85" customWidth="1" style="2" min="134" max="134"/>
    <col width="2.85" customWidth="1" style="2" min="135" max="135"/>
    <col width="2.85" customWidth="1" style="2" min="136" max="136"/>
    <col width="2.85" customWidth="1" style="2" min="137" max="137"/>
    <col width="2.85" customWidth="1" style="2" min="138" max="138"/>
    <col width="2.85" customWidth="1" style="2" min="139" max="139"/>
    <col width="2.85" customWidth="1" style="2" min="140" max="140"/>
    <col width="2.85" customWidth="1" style="2" min="141" max="141"/>
    <col width="2.85" customWidth="1" style="2" min="142" max="142"/>
    <col width="2.85" customWidth="1" style="2" min="143" max="143"/>
    <col width="2.85" customWidth="1" style="2" min="144" max="144"/>
    <col width="2.85" customWidth="1" style="2" min="145" max="145"/>
    <col width="2.85" customWidth="1" style="2" min="146" max="146"/>
    <col width="2.85" customWidth="1" style="2" min="147" max="147"/>
    <col width="2.85" customWidth="1" style="2" min="148" max="148"/>
    <col width="2.85" customWidth="1" style="2" min="149" max="149"/>
    <col width="2.85" customWidth="1" style="2" min="150" max="150"/>
    <col width="2.85" customWidth="1" style="2" min="151" max="151"/>
    <col width="2.85" customWidth="1" style="2" min="152" max="152"/>
    <col width="2.85" customWidth="1" style="2" min="153" max="153"/>
    <col width="2.85" customWidth="1" style="2" min="154" max="154"/>
    <col width="2.85" customWidth="1" style="2" min="155" max="155"/>
    <col width="2.85" customWidth="1" style="2" min="156" max="156"/>
    <col width="2.85" customWidth="1" style="2" min="157" max="157"/>
    <col width="2.85" customWidth="1" style="2" min="158" max="158"/>
    <col width="2.85" customWidth="1" style="2" min="159" max="159"/>
    <col width="2.85" customWidth="1" style="2" min="160" max="160"/>
    <col width="2.85" customWidth="1" style="2" min="161" max="161"/>
    <col width="2.85" customWidth="1" style="2" min="162" max="162"/>
    <col width="2.85" customWidth="1" style="2" min="163" max="163"/>
    <col width="2.85" customWidth="1" style="2" min="164" max="164"/>
    <col width="2.85" customWidth="1" style="2" min="165" max="165"/>
    <col width="2.85" customWidth="1" style="2" min="166" max="166"/>
    <col width="2.85" customWidth="1" style="2" min="167" max="167"/>
    <col width="2.85" customWidth="1" style="2" min="168" max="168"/>
    <col width="2.85" customWidth="1" style="2" min="169" max="169"/>
    <col width="2.85" customWidth="1" style="2" min="170" max="170"/>
    <col width="2.85" customWidth="1" style="2" min="171" max="171"/>
    <col width="2.85" customWidth="1" style="2" min="172" max="172"/>
    <col width="2.85" customWidth="1" style="2" min="173" max="173"/>
    <col width="2.85" customWidth="1" style="2" min="174" max="174"/>
    <col width="2.85" customWidth="1" style="2" min="175" max="175"/>
    <col width="2.85" customWidth="1" style="2" min="176" max="176"/>
    <col width="2.85" customWidth="1" style="2" min="177" max="177"/>
    <col width="2.85" customWidth="1" style="2" min="178" max="178"/>
    <col width="2.85" customWidth="1" style="2" min="179" max="179"/>
    <col width="2.85" customWidth="1" style="2" min="180" max="180"/>
    <col width="2.85" customWidth="1" style="2" min="181" max="181"/>
    <col width="2.85" customWidth="1" style="2" min="182" max="182"/>
    <col width="2.85" customWidth="1" style="2" min="183" max="183"/>
    <col width="2.85" customWidth="1" style="2" min="184" max="184"/>
    <col width="2.85" customWidth="1" style="2" min="185" max="185"/>
    <col width="2.85" customWidth="1" style="2" min="186" max="186"/>
    <col width="2.85" customWidth="1" style="2" min="187" max="187"/>
    <col width="2.85" customWidth="1" style="2" min="188" max="188"/>
    <col width="2.85" customWidth="1" style="2" min="189" max="189"/>
    <col width="2.85" customWidth="1" style="2" min="190" max="190"/>
    <col width="2.85" customWidth="1" style="2" min="191" max="191"/>
    <col width="2.85" customWidth="1" style="2" min="192" max="192"/>
    <col width="2.85" customWidth="1" style="2" min="193" max="193"/>
    <col width="2.85" customWidth="1" style="2" min="194" max="194"/>
    <col width="2.85" customWidth="1" style="2" min="195" max="195"/>
    <col width="2.85" customWidth="1" style="2" min="196" max="196"/>
    <col width="2.85" customWidth="1" style="2" min="197" max="197"/>
    <col width="2.85" customWidth="1" style="2" min="198" max="198"/>
    <col width="2.85" customWidth="1" style="2" min="199" max="199"/>
    <col width="2.85" customWidth="1" style="2" min="200" max="200"/>
    <col width="2.85" customWidth="1" style="2" min="201" max="201"/>
    <col width="2.85" customWidth="1" style="2" min="202" max="202"/>
    <col width="2.85" customWidth="1" style="2" min="203" max="203"/>
    <col width="2.85" customWidth="1" style="2" min="204" max="204"/>
    <col width="2.85" customWidth="1" style="2" min="205" max="205"/>
    <col width="2.85" customWidth="1" style="2" min="206" max="206"/>
    <col width="2.85" customWidth="1" style="2" min="207" max="207"/>
    <col width="2.85" customWidth="1" style="2" min="208" max="208"/>
    <col width="2.85" customWidth="1" style="2" min="209" max="209"/>
    <col width="2.85" customWidth="1" style="2" min="210" max="210"/>
    <col width="2.85" customWidth="1" style="2" min="211" max="211"/>
    <col width="2.85" customWidth="1" style="2" min="212" max="212"/>
    <col width="2.85" customWidth="1" style="2" min="213" max="213"/>
    <col width="2.85" customWidth="1" style="2" min="214" max="214"/>
    <col width="2.85" customWidth="1" style="2" min="215" max="215"/>
    <col width="2.85" customWidth="1" style="2" min="216" max="216"/>
    <col width="2.85" customWidth="1" style="2" min="217" max="217"/>
    <col width="2.85" customWidth="1" style="2" min="218" max="218"/>
    <col width="2.85" customWidth="1" style="2" min="219" max="219"/>
    <col width="2.85" customWidth="1" style="2" min="220" max="220"/>
    <col width="2.85" customWidth="1" style="2" min="221" max="221"/>
    <col width="2.85" customWidth="1" style="2" min="222" max="222"/>
    <col width="2.85" customWidth="1" style="2" min="223" max="223"/>
    <col width="2.85" customWidth="1" style="2" min="224" max="224"/>
    <col width="2.85" customWidth="1" style="2" min="225" max="225"/>
    <col width="2.85" customWidth="1" style="2" min="226" max="226"/>
    <col width="2.85" customWidth="1" style="2" min="227" max="227"/>
    <col width="2.85" customWidth="1" style="2" min="228" max="228"/>
    <col width="2.85" customWidth="1" style="2" min="229" max="229"/>
    <col width="2.85" customWidth="1" style="2" min="230" max="230"/>
    <col width="2.85" customWidth="1" style="2" min="231" max="231"/>
    <col width="2.85" customWidth="1" style="2" min="232" max="232"/>
    <col width="2.85" customWidth="1" style="2" min="233" max="233"/>
    <col width="2.85" customWidth="1" style="2" min="234" max="234"/>
    <col width="2.85" customWidth="1" style="2" min="235" max="235"/>
    <col width="2.85" customWidth="1" style="2" min="236" max="236"/>
    <col width="2.85" customWidth="1" style="2" min="237" max="237"/>
    <col width="2.85" customWidth="1" style="2" min="238" max="238"/>
    <col width="2.85" customWidth="1" style="2" min="239" max="239"/>
    <col width="2.85" customWidth="1" style="2" min="240" max="240"/>
    <col width="2.85" customWidth="1" style="2" min="241" max="241"/>
    <col width="2.85" customWidth="1" style="2" min="242" max="242"/>
    <col width="2.85" customWidth="1" style="2" min="243" max="243"/>
    <col width="2.85" customWidth="1" style="2" min="244" max="244"/>
    <col width="2.85" customWidth="1" style="2" min="245" max="245"/>
    <col width="2.85" customWidth="1" style="2" min="246" max="246"/>
    <col width="2.85" customWidth="1" style="2" min="247" max="247"/>
    <col width="2.85" customWidth="1" style="2" min="248" max="248"/>
    <col width="2.85" customWidth="1" style="2" min="249" max="249"/>
    <col width="2.85" customWidth="1" style="2" min="250" max="250"/>
    <col width="2.85" customWidth="1" style="2" min="251" max="251"/>
    <col width="2.85" customWidth="1" style="2" min="252" max="252"/>
    <col width="2.85" customWidth="1" style="2" min="253" max="253"/>
    <col width="2.85" customWidth="1" style="2" min="254" max="254"/>
    <col width="2.85" customWidth="1" style="2" min="255" max="255"/>
    <col width="2.85" customWidth="1" style="2" min="256" max="256"/>
    <col width="2.85" customWidth="1" style="2" min="257" max="257"/>
    <col width="2.85" customWidth="1" style="2" min="258" max="258"/>
    <col width="2.85" customWidth="1" style="2" min="259" max="259"/>
    <col width="2.85" customWidth="1" style="2" min="260" max="260"/>
    <col width="2.85" customWidth="1" style="2" min="261" max="261"/>
    <col width="2.85" customWidth="1" style="2" min="262" max="262"/>
    <col width="2.85" customWidth="1" style="2" min="263" max="263"/>
    <col width="2.85" customWidth="1" style="2" min="264" max="264"/>
    <col width="2.85" customWidth="1" style="2" min="265" max="265"/>
    <col width="2.85" customWidth="1" style="2" min="266" max="266"/>
    <col width="2.85" customWidth="1" style="2" min="267" max="267"/>
    <col width="2.85" customWidth="1" style="2" min="268" max="268"/>
    <col width="2.85" customWidth="1" style="2" min="269" max="269"/>
    <col width="2.85" customWidth="1" style="2" min="270" max="270"/>
    <col width="2.85" customWidth="1" style="2" min="271" max="271"/>
    <col width="2.85" customWidth="1" style="2" min="272" max="272"/>
    <col width="2.85" customWidth="1" style="2" min="273" max="273"/>
    <col width="2.85" customWidth="1" style="2" min="274" max="274"/>
    <col width="2.85" customWidth="1" style="2" min="275" max="275"/>
    <col width="2.85" customWidth="1" style="2" min="276" max="276"/>
    <col width="2.85" customWidth="1" style="2" min="277" max="277"/>
    <col width="2.85" customWidth="1" style="2" min="278" max="278"/>
    <col width="2.85" customWidth="1" style="2" min="279" max="279"/>
    <col width="2.85" customWidth="1" style="2" min="280" max="280"/>
    <col width="2.85" customWidth="1" style="2" min="281" max="281"/>
    <col width="2.85" customWidth="1" style="2" min="282" max="282"/>
    <col width="2.85" customWidth="1" style="2" min="283" max="283"/>
    <col width="2.85" customWidth="1" style="2" min="284" max="284"/>
    <col width="2.85" customWidth="1" style="2" min="285" max="285"/>
    <col width="2.85" customWidth="1" style="2" min="286" max="286"/>
    <col width="2.85" customWidth="1" style="2" min="287" max="287"/>
    <col width="2.85" customWidth="1" style="2" min="288" max="288"/>
    <col width="2.85" customWidth="1" style="2" min="289" max="289"/>
    <col width="2.85" customWidth="1" style="2" min="290" max="290"/>
    <col width="2.85" customWidth="1" style="2" min="291" max="291"/>
    <col width="2.85" customWidth="1" style="2" min="292" max="292"/>
    <col width="2.85" customWidth="1" style="2" min="293" max="293"/>
    <col width="2.85" customWidth="1" style="2" min="294" max="294"/>
    <col width="2.85" customWidth="1" style="2" min="295" max="295"/>
    <col width="2.85" customWidth="1" style="2" min="296" max="296"/>
    <col width="2.85" customWidth="1" style="2" min="297" max="297"/>
    <col width="2.85" customWidth="1" style="2" min="298" max="298"/>
    <col width="2.85" customWidth="1" style="2" min="299" max="299"/>
    <col width="2.85" customWidth="1" style="2" min="300" max="300"/>
    <col width="2.85" customWidth="1" style="2" min="301" max="301"/>
    <col width="2.85" customWidth="1" style="2" min="302" max="302"/>
    <col width="2.85" customWidth="1" style="2" min="303" max="303"/>
    <col width="2.85" customWidth="1" style="2" min="304" max="304"/>
    <col width="2.85" customWidth="1" style="2" min="305" max="305"/>
    <col width="2.85" customWidth="1" style="2" min="306" max="306"/>
    <col width="2.85" customWidth="1" style="2" min="307" max="307"/>
    <col width="2.85" customWidth="1" style="2" min="308" max="308"/>
    <col width="2.85" customWidth="1" style="2" min="309" max="309"/>
    <col width="2.85" customWidth="1" style="2" min="310" max="310"/>
    <col width="2.85" customWidth="1" style="2" min="311" max="311"/>
    <col width="2.85" customWidth="1" style="2" min="312" max="312"/>
    <col width="2.85" customWidth="1" style="2" min="313" max="313"/>
    <col width="2.85" customWidth="1" style="2" min="314" max="314"/>
    <col width="2.85" customWidth="1" style="2" min="315" max="315"/>
    <col width="2.85" customWidth="1" style="2" min="316" max="316"/>
    <col width="2.85" customWidth="1" style="2" min="317" max="317"/>
    <col width="2.85" customWidth="1" style="2" min="318" max="318"/>
    <col width="2.85" customWidth="1" style="2" min="319" max="319"/>
    <col width="2.85" customWidth="1" style="2" min="320" max="320"/>
    <col width="2.85" customWidth="1" style="2" min="321" max="321"/>
    <col width="2.85" customWidth="1" style="2" min="322" max="322"/>
    <col width="2.85" customWidth="1" style="2" min="323" max="323"/>
    <col width="2.85" customWidth="1" style="2" min="324" max="324"/>
    <col width="2.85" customWidth="1" style="2" min="325" max="325"/>
    <col width="2.85" customWidth="1" style="2" min="326" max="326"/>
    <col width="2.85" customWidth="1" style="2" min="327" max="327"/>
    <col width="2.85" customWidth="1" style="2" min="328" max="328"/>
    <col width="2.85" customWidth="1" style="2" min="329" max="329"/>
    <col width="2.85" customWidth="1" style="2" min="330" max="330"/>
    <col width="2.85" customWidth="1" style="2" min="331" max="331"/>
    <col width="2.85" customWidth="1" style="2" min="332" max="332"/>
    <col width="2.85" customWidth="1" style="2" min="333" max="333"/>
    <col width="2.85" customWidth="1" style="2" min="334" max="334"/>
    <col width="2.85" customWidth="1" style="2" min="335" max="335"/>
    <col width="2.85" customWidth="1" style="2" min="336" max="336"/>
    <col width="2.85" customWidth="1" style="2" min="337" max="337"/>
    <col width="2.85" customWidth="1" style="2" min="338" max="338"/>
    <col width="2.85" customWidth="1" style="2" min="339" max="339"/>
    <col width="2.85" customWidth="1" style="2" min="340" max="340"/>
    <col width="2.85" customWidth="1" style="2" min="341" max="341"/>
    <col width="2.85" customWidth="1" style="2" min="342" max="342"/>
    <col width="2.85" customWidth="1" style="2" min="343" max="343"/>
    <col width="2.85" customWidth="1" style="2" min="344" max="344"/>
    <col width="2.85" customWidth="1" style="2" min="345" max="345"/>
    <col width="2.85" customWidth="1" style="2" min="346" max="346"/>
    <col width="2.85" customWidth="1" style="2" min="347" max="347"/>
    <col width="2.85" customWidth="1" style="2" min="348" max="348"/>
    <col width="2.85" customWidth="1" style="2" min="349" max="349"/>
    <col width="2.85" customWidth="1" style="2" min="350" max="350"/>
    <col width="2.85" customWidth="1" style="2" min="351" max="351"/>
    <col width="2.85" customWidth="1" style="2" min="352" max="352"/>
    <col width="2.85" customWidth="1" style="2" min="353" max="353"/>
    <col width="2.85" customWidth="1" style="2" min="354" max="354"/>
    <col width="2.85" customWidth="1" style="2" min="355" max="355"/>
    <col width="2.85" customWidth="1" style="2" min="356" max="356"/>
    <col width="2.85" customWidth="1" style="2" min="357" max="357"/>
    <col width="2.85" customWidth="1" style="2" min="358" max="358"/>
    <col width="2.85" customWidth="1" style="2" min="359" max="359"/>
    <col width="2.85" customWidth="1" style="2" min="360" max="360"/>
    <col width="2.85" customWidth="1" style="2" min="361" max="361"/>
    <col width="2.85" customWidth="1" style="2" min="362" max="362"/>
    <col width="2.85" customWidth="1" style="2" min="363" max="363"/>
    <col width="2.85" customWidth="1" style="2" min="364" max="364"/>
    <col width="2.85" customWidth="1" style="2" min="365" max="365"/>
    <col width="2.85" customWidth="1" style="2" min="366" max="366"/>
    <col width="2.85" customWidth="1" style="2" min="367" max="367"/>
    <col width="2.85" customWidth="1" style="2" min="368" max="368"/>
    <col width="2.85" customWidth="1" style="2" min="369" max="369"/>
    <col width="2.85" customWidth="1" style="2" min="370" max="370"/>
    <col width="2.85" customWidth="1" style="2" min="371" max="371"/>
    <col width="2.85" customWidth="1" style="2" min="372" max="372"/>
    <col width="2.85" customWidth="1" style="2" min="373" max="373"/>
    <col width="2.85" customWidth="1" style="2" min="374" max="374"/>
    <col width="2.85" customWidth="1" style="2" min="375" max="375"/>
    <col width="2.85" customWidth="1" style="2" min="376" max="376"/>
    <col width="2.85" customWidth="1" style="2" min="377" max="377"/>
    <col width="2.85" customWidth="1" style="2" min="378" max="378"/>
    <col width="2.85" customWidth="1" style="2" min="379" max="379"/>
    <col width="2.85" customWidth="1" style="2" min="380" max="380"/>
    <col width="2.85" customWidth="1" style="2" min="381" max="381"/>
    <col width="2.85" customWidth="1" style="2" min="382" max="382"/>
    <col width="2.85" customWidth="1" style="2" min="383" max="383"/>
    <col width="2.85" customWidth="1" style="2" min="384" max="384"/>
    <col width="2.85" customWidth="1" style="2" min="385" max="385"/>
    <col width="2.85" customWidth="1" style="2" min="386" max="386"/>
    <col width="2.85" customWidth="1" style="2" min="387" max="387"/>
    <col width="2.85" customWidth="1" style="2" min="388" max="388"/>
    <col width="2.85" customWidth="1" style="2" min="389" max="389"/>
    <col width="2.85" customWidth="1" style="2" min="390" max="390"/>
    <col width="2.85" customWidth="1" style="2" min="391" max="391"/>
    <col width="2.85" customWidth="1" style="2" min="392" max="392"/>
    <col width="2.85" customWidth="1" style="2" min="393" max="393"/>
    <col width="2.85" customWidth="1" style="2" min="394" max="394"/>
    <col width="2.85" customWidth="1" style="2" min="395" max="395"/>
    <col width="2.85" customWidth="1" style="2" min="396" max="396"/>
    <col width="2.85" customWidth="1" style="2" min="397" max="397"/>
    <col width="2.85" customWidth="1" style="2" min="398" max="398"/>
    <col width="2.85" customWidth="1" style="2" min="399" max="399"/>
    <col width="2.85" customWidth="1" style="2" min="400" max="400"/>
    <col width="2.85" customWidth="1" style="2" min="401" max="401"/>
    <col width="2.85" customWidth="1" style="2" min="402" max="402"/>
    <col width="2.85" customWidth="1" style="2" min="403" max="403"/>
    <col width="2.85" customWidth="1" style="2" min="404" max="404"/>
    <col width="2.85" customWidth="1" style="2" min="405" max="405"/>
    <col width="2.85" customWidth="1" style="2" min="406" max="406"/>
    <col width="2.85" customWidth="1" style="2" min="407" max="407"/>
    <col width="2.85" customWidth="1" style="2" min="408" max="408"/>
    <col width="2.85" customWidth="1" style="2" min="409" max="409"/>
    <col width="2.85" customWidth="1" style="2" min="410" max="410"/>
    <col width="2.85" customWidth="1" style="2" min="411" max="411"/>
    <col width="2.85" customWidth="1" style="2" min="412" max="412"/>
    <col width="2.85" customWidth="1" style="2" min="413" max="413"/>
    <col width="2.85" customWidth="1" style="2" min="414" max="414"/>
    <col width="2.85" customWidth="1" style="2" min="415" max="415"/>
    <col width="2.85" customWidth="1" style="2" min="416" max="416"/>
    <col width="2.85" customWidth="1" style="2" min="417" max="417"/>
    <col width="2.85" customWidth="1" style="2" min="418" max="418"/>
    <col width="2.85" customWidth="1" style="2" min="419" max="419"/>
    <col width="2.85" customWidth="1" style="2" min="420" max="420"/>
    <col width="2.85" customWidth="1" style="2" min="421" max="421"/>
    <col width="2.85" customWidth="1" style="2" min="422" max="422"/>
    <col width="2.85" customWidth="1" style="2" min="423" max="423"/>
    <col width="2.85" customWidth="1" style="2" min="424" max="424"/>
    <col width="2.85" customWidth="1" style="2" min="425" max="425"/>
    <col width="2.85" customWidth="1" style="2" min="426" max="426"/>
    <col width="2.85" customWidth="1" style="2" min="427" max="427"/>
    <col width="2.85" customWidth="1" style="2" min="428" max="428"/>
    <col width="2.85" customWidth="1" style="2" min="429" max="429"/>
    <col width="2.85" customWidth="1" style="2" min="430" max="430"/>
    <col width="2.85" customWidth="1" style="2" min="431" max="431"/>
    <col width="2.85" customWidth="1" style="2" min="432" max="432"/>
    <col width="2.85" customWidth="1" style="2" min="433" max="433"/>
    <col width="2.85" customWidth="1" style="2" min="434" max="434"/>
    <col width="2.85" customWidth="1" style="2" min="435" max="435"/>
    <col width="2.85" customWidth="1" style="2" min="436" max="436"/>
    <col width="2.85" customWidth="1" style="2" min="437" max="437"/>
    <col width="2.85" customWidth="1" style="2" min="438" max="438"/>
    <col width="2.85" customWidth="1" style="2" min="439" max="439"/>
    <col width="2.85" customWidth="1" style="2" min="440" max="440"/>
    <col width="2.85" customWidth="1" style="2" min="441" max="441"/>
    <col width="2.85" customWidth="1" style="2" min="442" max="442"/>
    <col width="2.85" customWidth="1" style="2" min="443" max="443"/>
    <col width="2.85" customWidth="1" style="2" min="444" max="444"/>
    <col width="2.85" customWidth="1" style="2" min="445" max="445"/>
    <col width="2.85" customWidth="1" style="2" min="446" max="446"/>
    <col width="2.85" customWidth="1" style="2" min="447" max="447"/>
    <col width="2.85" customWidth="1" style="2" min="448" max="448"/>
    <col width="2.85" customWidth="1" style="2" min="449" max="449"/>
    <col width="2.85" customWidth="1" style="2" min="450" max="450"/>
    <col width="2.85" customWidth="1" style="2" min="451" max="451"/>
    <col width="2.85" customWidth="1" style="2" min="452" max="452"/>
    <col width="2.85" customWidth="1" style="2" min="453" max="453"/>
    <col width="2.85" customWidth="1" style="2" min="454" max="454"/>
    <col width="2.85" customWidth="1" style="2" min="455" max="455"/>
    <col width="2.85" customWidth="1" style="2" min="456" max="456"/>
    <col width="2.85" customWidth="1" style="2" min="457" max="457"/>
    <col width="2.85" customWidth="1" style="2" min="458" max="458"/>
    <col width="2.85" customWidth="1" style="2" min="459" max="459"/>
    <col width="2.85" customWidth="1" style="2" min="460" max="460"/>
    <col width="2.85" customWidth="1" style="2" min="461" max="461"/>
    <col width="2.85" customWidth="1" style="2" min="462" max="462"/>
    <col width="2.85" customWidth="1" style="2" min="463" max="463"/>
    <col width="2.85" customWidth="1" style="2" min="464" max="464"/>
    <col width="2.85" customWidth="1" style="2" min="465" max="465"/>
    <col width="2.85" customWidth="1" style="2" min="466" max="466"/>
    <col width="2.85" customWidth="1" style="2" min="467" max="467"/>
    <col width="2.85" customWidth="1" style="2" min="468" max="468"/>
    <col width="2.85" customWidth="1" style="2" min="469" max="469"/>
    <col width="2.85" customWidth="1" style="2" min="470" max="470"/>
    <col width="2.85" customWidth="1" style="2" min="471" max="471"/>
    <col width="2.85" customWidth="1" style="2" min="472" max="472"/>
    <col width="2.85" customWidth="1" style="2" min="473" max="473"/>
    <col width="2.85" customWidth="1" style="2" min="474" max="474"/>
    <col width="2.85" customWidth="1" style="2" min="475" max="475"/>
    <col width="2.85" customWidth="1" style="2" min="476" max="476"/>
    <col width="2.85" customWidth="1" style="2" min="477" max="477"/>
    <col width="2.85" customWidth="1" style="2" min="478" max="478"/>
    <col width="2.85" customWidth="1" style="2" min="479" max="479"/>
    <col width="2.85" customWidth="1" style="2" min="480" max="480"/>
    <col width="2.85" customWidth="1" style="2" min="481" max="481"/>
    <col width="2.85" customWidth="1" style="2" min="482" max="482"/>
    <col width="2.85" customWidth="1" style="2" min="483" max="483"/>
    <col width="2.85" customWidth="1" style="2" min="484" max="484"/>
    <col width="2.85" customWidth="1" style="2" min="485" max="485"/>
    <col width="2.85" customWidth="1" style="2" min="486" max="486"/>
    <col width="2.85" customWidth="1" style="2" min="487" max="487"/>
    <col width="2.85" customWidth="1" style="2" min="488" max="488"/>
    <col width="2.85" customWidth="1" style="2" min="489" max="489"/>
    <col width="2.85" customWidth="1" style="2" min="490" max="490"/>
    <col width="2.85" customWidth="1" style="2" min="491" max="491"/>
    <col width="2.85" customWidth="1" style="2" min="492" max="492"/>
    <col width="2.85" customWidth="1" style="2" min="493" max="493"/>
    <col width="2.85" customWidth="1" style="2" min="494" max="494"/>
    <col width="2.85" customWidth="1" style="2" min="495" max="495"/>
    <col width="2.85" customWidth="1" style="2" min="496" max="496"/>
    <col width="2.85" customWidth="1" style="2" min="497" max="497"/>
    <col width="2.85" customWidth="1" style="2" min="498" max="498"/>
    <col width="2.85" customWidth="1" style="2" min="499" max="499"/>
    <col width="2.85" customWidth="1" style="2" min="500" max="500"/>
    <col width="2.85" customWidth="1" style="2" min="501" max="501"/>
    <col width="2.85" customWidth="1" style="2" min="502" max="502"/>
    <col width="2.85" customWidth="1" style="2" min="503" max="503"/>
    <col width="2.85" customWidth="1" style="2" min="504" max="504"/>
    <col width="2.85" customWidth="1" style="2" min="505" max="505"/>
    <col width="2.85" customWidth="1" style="2" min="506" max="506"/>
    <col width="2.85" customWidth="1" style="2" min="507" max="507"/>
    <col width="2.85" customWidth="1" style="2" min="508" max="508"/>
    <col width="2.85" customWidth="1" style="2" min="509" max="509"/>
    <col width="2.85" customWidth="1" style="2" min="510" max="510"/>
    <col width="2.85" customWidth="1" style="2" min="511" max="511"/>
    <col width="2.85" customWidth="1" style="2" min="512" max="512"/>
    <col width="2.85" customWidth="1" style="2" min="513" max="513"/>
    <col width="2.85" customWidth="1" style="2" min="514" max="514"/>
    <col width="2.85" customWidth="1" style="2" min="515" max="515"/>
    <col width="2.85" customWidth="1" style="2" min="516" max="516"/>
    <col width="2.85" customWidth="1" style="2" min="517" max="517"/>
    <col width="2.85" customWidth="1" style="2" min="518" max="518"/>
    <col width="2.85" customWidth="1" style="2" min="519" max="519"/>
    <col width="2.85" customWidth="1" style="2" min="520" max="520"/>
    <col width="2.85" customWidth="1" style="2" min="521" max="521"/>
    <col width="2.85" customWidth="1" style="2" min="522" max="522"/>
  </cols>
  <sheetData>
    <row r="1" ht="24" customHeight="1" s="2">
      <c r="A1" s="13" t="inlineStr">
        <is>
          <t>一级流程
（阶段）</t>
        </is>
      </c>
      <c r="B1" s="13" t="inlineStr">
        <is>
          <t>二级流程
（场景）</t>
        </is>
      </c>
      <c r="C1" s="13" t="inlineStr">
        <is>
          <t>三级流程
（任务）</t>
        </is>
      </c>
      <c r="D1" s="14" t="inlineStr">
        <is>
          <t>任务名称</t>
        </is>
      </c>
      <c r="E1" s="63" t="inlineStr">
        <is>
          <t>后置</t>
        </is>
      </c>
      <c r="F1" s="63" t="inlineStr">
        <is>
          <t>前置</t>
        </is>
      </c>
      <c r="G1" s="15" t="inlineStr">
        <is>
          <t>进度</t>
        </is>
      </c>
      <c r="H1" s="121" t="n"/>
      <c r="I1" s="14" t="inlineStr">
        <is>
          <t>里程碑</t>
        </is>
      </c>
      <c r="J1" s="13" t="inlineStr">
        <is>
          <t>乙方
评审</t>
        </is>
      </c>
      <c r="K1" s="13" t="inlineStr">
        <is>
          <t>甲方
评审</t>
        </is>
      </c>
      <c r="L1" s="13" t="inlineStr">
        <is>
          <t>PMO</t>
        </is>
      </c>
      <c r="M1" s="15" t="inlineStr">
        <is>
          <t>工作周</t>
        </is>
      </c>
      <c r="N1" s="15" t="inlineStr">
        <is>
          <t>计划时间</t>
        </is>
      </c>
      <c r="O1" s="121" t="n"/>
      <c r="P1" s="15" t="inlineStr">
        <is>
          <t>工作日</t>
        </is>
      </c>
      <c r="Q1" s="15" t="inlineStr">
        <is>
          <t>是否与上个任务为前后置关系</t>
        </is>
      </c>
      <c r="R1" s="15" t="inlineStr">
        <is>
          <t>执行人</t>
        </is>
      </c>
      <c r="S1" s="121" t="n"/>
      <c r="T1" s="14" t="inlineStr">
        <is>
          <t>关键交付物</t>
        </is>
      </c>
      <c r="U1" s="122" t="inlineStr">
        <is>
          <t>2026年8月</t>
        </is>
      </c>
      <c r="V1" s="123" t="n"/>
      <c r="W1" s="123" t="n"/>
      <c r="X1" s="123" t="n"/>
      <c r="Y1" s="123" t="n"/>
      <c r="Z1" s="123" t="n"/>
      <c r="AA1" s="123" t="n"/>
      <c r="AB1" s="123" t="n"/>
      <c r="AC1" s="123" t="n"/>
      <c r="AD1" s="123" t="n"/>
      <c r="AE1" s="123" t="n"/>
      <c r="AF1" s="123" t="n"/>
      <c r="AG1" s="123" t="n"/>
      <c r="AH1" s="123" t="n"/>
      <c r="AI1" s="123" t="n"/>
      <c r="AJ1" s="122" t="inlineStr">
        <is>
          <t>2026年9月</t>
        </is>
      </c>
      <c r="AK1" s="123" t="n"/>
      <c r="AL1" s="123" t="n"/>
      <c r="AM1" s="123" t="n"/>
      <c r="AN1" s="123" t="n"/>
      <c r="AO1" s="123" t="n"/>
      <c r="AP1" s="123" t="n"/>
      <c r="AQ1" s="123" t="n"/>
      <c r="AR1" s="123" t="n"/>
      <c r="AS1" s="123" t="n"/>
      <c r="AT1" s="123" t="n"/>
      <c r="AU1" s="123" t="n"/>
      <c r="AV1" s="123" t="n"/>
      <c r="AW1" s="123" t="n"/>
      <c r="AX1" s="123" t="n"/>
      <c r="AY1" s="123" t="n"/>
      <c r="AZ1" s="123" t="n"/>
      <c r="BA1" s="123" t="n"/>
      <c r="BB1" s="123" t="n"/>
      <c r="BC1" s="123" t="n"/>
      <c r="BD1" s="123" t="n"/>
      <c r="BE1" s="123" t="n"/>
      <c r="BF1" s="123" t="n"/>
      <c r="BG1" s="123" t="n"/>
      <c r="BH1" s="123" t="n"/>
      <c r="BI1" s="123" t="n"/>
      <c r="BJ1" s="123" t="n"/>
      <c r="BK1" s="123" t="n"/>
      <c r="BL1" s="123" t="n"/>
      <c r="BM1" s="123" t="n"/>
      <c r="BN1" s="122" t="inlineStr">
        <is>
          <t>2026年10月</t>
        </is>
      </c>
      <c r="BO1" s="123" t="n"/>
      <c r="BP1" s="123" t="n"/>
      <c r="BQ1" s="123" t="n"/>
      <c r="BR1" s="123" t="n"/>
      <c r="BS1" s="123" t="n"/>
      <c r="BT1" s="123" t="n"/>
      <c r="BU1" s="123" t="n"/>
      <c r="BV1" s="123" t="n"/>
      <c r="BW1" s="123" t="n"/>
      <c r="BX1" s="123" t="n"/>
      <c r="BY1" s="123" t="n"/>
      <c r="BZ1" s="123" t="n"/>
      <c r="CA1" s="123" t="n"/>
      <c r="CB1" s="123" t="n"/>
      <c r="CC1" s="123" t="n"/>
      <c r="CD1" s="123" t="n"/>
      <c r="CE1" s="123" t="n"/>
      <c r="CF1" s="123" t="n"/>
      <c r="CG1" s="123" t="n"/>
      <c r="CH1" s="123" t="n"/>
      <c r="CI1" s="123" t="n"/>
      <c r="CJ1" s="123" t="n"/>
      <c r="CK1" s="123" t="n"/>
      <c r="CL1" s="123" t="n"/>
      <c r="CM1" s="123" t="n"/>
      <c r="CN1" s="123" t="n"/>
      <c r="CO1" s="123" t="n"/>
      <c r="CP1" s="123" t="n"/>
      <c r="CQ1" s="123" t="n"/>
      <c r="CR1" s="123" t="n"/>
      <c r="CS1" s="122" t="inlineStr">
        <is>
          <t>2026年11月</t>
        </is>
      </c>
      <c r="CT1" s="123" t="n"/>
      <c r="CU1" s="123" t="n"/>
      <c r="CV1" s="123" t="n"/>
      <c r="CW1" s="123" t="n"/>
      <c r="CX1" s="123" t="n"/>
      <c r="CY1" s="123" t="n"/>
      <c r="CZ1" s="123" t="n"/>
      <c r="DA1" s="123" t="n"/>
      <c r="DB1" s="123" t="n"/>
      <c r="DC1" s="123" t="n"/>
      <c r="DD1" s="123" t="n"/>
      <c r="DE1" s="123" t="n"/>
      <c r="DF1" s="123" t="n"/>
      <c r="DG1" s="123" t="n"/>
      <c r="DH1" s="123" t="n"/>
      <c r="DI1" s="123" t="n"/>
      <c r="DJ1" s="123" t="n"/>
      <c r="DK1" s="123" t="n"/>
      <c r="DL1" s="123" t="n"/>
      <c r="DM1" s="123" t="n"/>
      <c r="DN1" s="123" t="n"/>
      <c r="DO1" s="123" t="n"/>
      <c r="DP1" s="123" t="n"/>
      <c r="DQ1" s="123" t="n"/>
      <c r="DR1" s="123" t="n"/>
      <c r="DS1" s="123" t="n"/>
      <c r="DT1" s="123" t="n"/>
      <c r="DU1" s="123" t="n"/>
      <c r="DV1" s="123" t="n"/>
      <c r="DW1" s="122" t="inlineStr">
        <is>
          <t>2026年12月</t>
        </is>
      </c>
      <c r="DX1" s="123" t="n"/>
      <c r="DY1" s="123" t="n"/>
      <c r="DZ1" s="123" t="n"/>
      <c r="EA1" s="123" t="n"/>
      <c r="EB1" s="123" t="n"/>
      <c r="EC1" s="123" t="n"/>
      <c r="ED1" s="123" t="n"/>
      <c r="EE1" s="123" t="n"/>
      <c r="EF1" s="123" t="n"/>
      <c r="EG1" s="123" t="n"/>
      <c r="EH1" s="123" t="n"/>
      <c r="EI1" s="123" t="n"/>
      <c r="EJ1" s="123" t="n"/>
      <c r="EK1" s="123" t="n"/>
      <c r="EL1" s="123" t="n"/>
      <c r="EM1" s="123" t="n"/>
      <c r="EN1" s="123" t="n"/>
      <c r="EO1" s="123" t="n"/>
      <c r="EP1" s="123" t="n"/>
      <c r="EQ1" s="123" t="n"/>
      <c r="ER1" s="123" t="n"/>
      <c r="ES1" s="123" t="n"/>
      <c r="ET1" s="123" t="n"/>
      <c r="EU1" s="123" t="n"/>
      <c r="EV1" s="123" t="n"/>
      <c r="EW1" s="123" t="n"/>
      <c r="EX1" s="123" t="n"/>
      <c r="EY1" s="123" t="n"/>
      <c r="EZ1" s="123" t="n"/>
      <c r="FA1" s="123" t="n"/>
      <c r="FB1" s="122" t="inlineStr">
        <is>
          <t>2027年1月</t>
        </is>
      </c>
      <c r="FC1" s="123" t="n"/>
      <c r="FD1" s="123" t="n"/>
      <c r="FE1" s="123" t="n"/>
      <c r="FF1" s="123" t="n"/>
      <c r="FG1" s="123" t="n"/>
      <c r="FH1" s="123" t="n"/>
      <c r="FI1" s="123" t="n"/>
      <c r="FJ1" s="123" t="n"/>
      <c r="FK1" s="123" t="n"/>
      <c r="FL1" s="123" t="n"/>
      <c r="FM1" s="123" t="n"/>
      <c r="FN1" s="123" t="n"/>
      <c r="FO1" s="123" t="n"/>
      <c r="FP1" s="123" t="n"/>
      <c r="FQ1" s="123" t="n"/>
      <c r="FR1" s="123" t="n"/>
      <c r="FS1" s="123" t="n"/>
      <c r="FT1" s="123" t="n"/>
      <c r="FU1" s="123" t="n"/>
      <c r="FV1" s="123" t="n"/>
      <c r="FW1" s="123" t="n"/>
      <c r="FX1" s="123" t="n"/>
      <c r="FY1" s="123" t="n"/>
      <c r="FZ1" s="123" t="n"/>
      <c r="GA1" s="123" t="n"/>
      <c r="GB1" s="123" t="n"/>
      <c r="GC1" s="123" t="n"/>
      <c r="GD1" s="123" t="n"/>
      <c r="GE1" s="123" t="n"/>
      <c r="GF1" s="123" t="n"/>
      <c r="GG1" s="122" t="inlineStr">
        <is>
          <t>2027年2月</t>
        </is>
      </c>
      <c r="GH1" s="123" t="n"/>
      <c r="GI1" s="123" t="n"/>
      <c r="GJ1" s="123" t="n"/>
      <c r="GK1" s="123" t="n"/>
      <c r="GL1" s="123" t="n"/>
      <c r="GM1" s="123" t="n"/>
      <c r="GN1" s="123" t="n"/>
      <c r="GO1" s="123" t="n"/>
      <c r="GP1" s="123" t="n"/>
      <c r="GQ1" s="123" t="n"/>
      <c r="GR1" s="123" t="n"/>
      <c r="GS1" s="123" t="n"/>
      <c r="GT1" s="123" t="n"/>
      <c r="GU1" s="123" t="n"/>
      <c r="GV1" s="123" t="n"/>
      <c r="GW1" s="123" t="n"/>
      <c r="GX1" s="123" t="n"/>
      <c r="GY1" s="123" t="n"/>
      <c r="GZ1" s="123" t="n"/>
      <c r="HA1" s="123" t="n"/>
      <c r="HB1" s="123" t="n"/>
      <c r="HC1" s="123" t="n"/>
      <c r="HD1" s="123" t="n"/>
      <c r="HE1" s="123" t="n"/>
      <c r="HF1" s="123" t="n"/>
      <c r="HG1" s="123" t="n"/>
      <c r="HH1" s="123" t="n"/>
      <c r="HI1" s="122" t="inlineStr">
        <is>
          <t>2027年3月</t>
        </is>
      </c>
      <c r="HJ1" s="123" t="n"/>
      <c r="HK1" s="123" t="n"/>
      <c r="HL1" s="123" t="n"/>
      <c r="HM1" s="123" t="n"/>
      <c r="HN1" s="123" t="n"/>
      <c r="HO1" s="123" t="n"/>
      <c r="HP1" s="123" t="n"/>
      <c r="HQ1" s="123" t="n"/>
      <c r="HR1" s="123" t="n"/>
      <c r="HS1" s="123" t="n"/>
      <c r="HT1" s="123" t="n"/>
      <c r="HU1" s="123" t="n"/>
      <c r="HV1" s="123" t="n"/>
      <c r="HW1" s="123" t="n"/>
      <c r="HX1" s="123" t="n"/>
      <c r="HY1" s="123" t="n"/>
      <c r="HZ1" s="123" t="n"/>
      <c r="IA1" s="123" t="n"/>
      <c r="IB1" s="123" t="n"/>
      <c r="IC1" s="123" t="n"/>
      <c r="ID1" s="123" t="n"/>
      <c r="IE1" s="123" t="n"/>
      <c r="IF1" s="123" t="n"/>
      <c r="IG1" s="123" t="n"/>
      <c r="IH1" s="123" t="n"/>
      <c r="II1" s="123" t="n"/>
      <c r="IJ1" s="123" t="n"/>
      <c r="IK1" s="123" t="n"/>
      <c r="IL1" s="123" t="n"/>
      <c r="IM1" s="123" t="n"/>
      <c r="IN1" s="122" t="inlineStr">
        <is>
          <t>2027年4月</t>
        </is>
      </c>
      <c r="IO1" s="123" t="n"/>
      <c r="IP1" s="123" t="n"/>
      <c r="IQ1" s="123" t="n"/>
      <c r="IR1" s="123" t="n"/>
      <c r="IS1" s="123" t="n"/>
      <c r="IT1" s="123" t="n"/>
      <c r="IU1" s="123" t="n"/>
      <c r="IV1" s="123" t="n"/>
      <c r="IW1" s="123" t="n"/>
      <c r="IX1" s="123" t="n"/>
      <c r="IY1" s="123" t="n"/>
      <c r="IZ1" s="123" t="n"/>
      <c r="JA1" s="123" t="n"/>
      <c r="JB1" s="123" t="n"/>
      <c r="JC1" s="123" t="n"/>
      <c r="JD1" s="123" t="n"/>
      <c r="JE1" s="123" t="n"/>
      <c r="JF1" s="123" t="n"/>
      <c r="JG1" s="123" t="n"/>
      <c r="JH1" s="123" t="n"/>
      <c r="JI1" s="123" t="n"/>
      <c r="JJ1" s="123" t="n"/>
      <c r="JK1" s="123" t="n"/>
      <c r="JL1" s="123" t="n"/>
      <c r="JM1" s="123" t="n"/>
      <c r="JN1" s="123" t="n"/>
      <c r="JO1" s="123" t="n"/>
      <c r="JP1" s="123" t="n"/>
      <c r="JQ1" s="123" t="n"/>
      <c r="JR1" s="122" t="inlineStr">
        <is>
          <t>2027年5月</t>
        </is>
      </c>
      <c r="JS1" s="123" t="n"/>
      <c r="JT1" s="123" t="n"/>
      <c r="JU1" s="123" t="n"/>
      <c r="JV1" s="123" t="n"/>
      <c r="JW1" s="123" t="n"/>
      <c r="JX1" s="123" t="n"/>
      <c r="JY1" s="123" t="n"/>
      <c r="JZ1" s="123" t="n"/>
      <c r="KA1" s="123" t="n"/>
      <c r="KB1" s="123" t="n"/>
      <c r="KC1" s="123" t="n"/>
      <c r="KD1" s="123" t="n"/>
      <c r="KE1" s="123" t="n"/>
      <c r="KF1" s="123" t="n"/>
      <c r="KG1" s="123" t="n"/>
      <c r="KH1" s="123" t="n"/>
      <c r="KI1" s="123" t="n"/>
      <c r="KJ1" s="123" t="n"/>
      <c r="KK1" s="123" t="n"/>
      <c r="KL1" s="123" t="n"/>
      <c r="KM1" s="123" t="n"/>
      <c r="KN1" s="123" t="n"/>
      <c r="KO1" s="123" t="n"/>
      <c r="KP1" s="123" t="n"/>
      <c r="KQ1" s="123" t="n"/>
      <c r="KR1" s="123" t="n"/>
      <c r="KS1" s="123" t="n"/>
      <c r="KT1" s="123" t="n"/>
      <c r="KU1" s="123" t="n"/>
      <c r="KV1" s="123" t="n"/>
      <c r="KW1" s="122" t="inlineStr">
        <is>
          <t>2027年6月</t>
        </is>
      </c>
      <c r="KX1" s="123" t="n"/>
      <c r="KY1" s="123" t="n"/>
      <c r="KZ1" s="123" t="n"/>
      <c r="LA1" s="123" t="n"/>
      <c r="LB1" s="123" t="n"/>
      <c r="LC1" s="123" t="n"/>
      <c r="LD1" s="123" t="n"/>
      <c r="LE1" s="123" t="n"/>
      <c r="LF1" s="123" t="n"/>
      <c r="LG1" s="123" t="n"/>
      <c r="LH1" s="123" t="n"/>
      <c r="LI1" s="123" t="n"/>
      <c r="LJ1" s="123" t="n"/>
      <c r="LK1" s="123" t="n"/>
      <c r="LL1" s="123" t="n"/>
      <c r="LM1" s="123" t="n"/>
      <c r="LN1" s="123" t="n"/>
      <c r="LO1" s="123" t="n"/>
      <c r="LP1" s="123" t="n"/>
      <c r="LQ1" s="123" t="n"/>
      <c r="LR1" s="123" t="n"/>
      <c r="LS1" s="123" t="n"/>
      <c r="LT1" s="123" t="n"/>
      <c r="LU1" s="123" t="n"/>
      <c r="LV1" s="123" t="n"/>
      <c r="LW1" s="123" t="n"/>
      <c r="LX1" s="123" t="n"/>
      <c r="LY1" s="123" t="n"/>
      <c r="LZ1" s="123" t="n"/>
      <c r="MA1" s="122" t="inlineStr">
        <is>
          <t>2027年7月</t>
        </is>
      </c>
      <c r="MB1" s="123" t="n"/>
      <c r="MC1" s="123" t="n"/>
      <c r="MD1" s="123" t="n"/>
      <c r="ME1" s="123" t="n"/>
      <c r="MF1" s="123" t="n"/>
      <c r="MG1" s="123" t="n"/>
      <c r="MH1" s="123" t="n"/>
      <c r="MI1" s="123" t="n"/>
      <c r="MJ1" s="123" t="n"/>
      <c r="MK1" s="123" t="n"/>
      <c r="ML1" s="123" t="n"/>
      <c r="MM1" s="123" t="n"/>
      <c r="MN1" s="123" t="n"/>
      <c r="MO1" s="123" t="n"/>
      <c r="MP1" s="123" t="n"/>
      <c r="MQ1" s="123" t="n"/>
      <c r="MR1" s="123" t="n"/>
      <c r="MS1" s="123" t="n"/>
      <c r="MT1" s="123" t="n"/>
      <c r="MU1" s="123" t="n"/>
      <c r="MV1" s="123" t="n"/>
      <c r="MW1" s="123" t="n"/>
      <c r="MX1" s="123" t="n"/>
      <c r="MY1" s="123" t="n"/>
      <c r="MZ1" s="123" t="n"/>
      <c r="NA1" s="123" t="n"/>
      <c r="NB1" s="123" t="n"/>
      <c r="NC1" s="123" t="n"/>
      <c r="ND1" s="123" t="n"/>
      <c r="NE1" s="123" t="n"/>
      <c r="NF1" s="122" t="inlineStr">
        <is>
          <t>2027年8月</t>
        </is>
      </c>
      <c r="NG1" s="123" t="n"/>
      <c r="NH1" s="123" t="n"/>
      <c r="NI1" s="123" t="n"/>
      <c r="NJ1" s="123" t="n"/>
      <c r="NK1" s="123" t="n"/>
      <c r="NL1" s="123" t="n"/>
      <c r="NM1" s="123" t="n"/>
      <c r="NN1" s="123" t="n"/>
      <c r="NO1" s="123" t="n"/>
      <c r="NP1" s="123" t="n"/>
      <c r="NQ1" s="123" t="n"/>
      <c r="NR1" s="123" t="n"/>
      <c r="NS1" s="123" t="n"/>
      <c r="NT1" s="123" t="n"/>
      <c r="NU1" s="123" t="n"/>
      <c r="NV1" s="123" t="n"/>
      <c r="NW1" s="123" t="n"/>
      <c r="NX1" s="123" t="n"/>
      <c r="NY1" s="123" t="n"/>
      <c r="NZ1" s="123" t="n"/>
      <c r="OA1" s="123" t="n"/>
      <c r="OB1" s="123" t="n"/>
      <c r="OC1" s="123" t="n"/>
      <c r="OD1" s="123" t="n"/>
      <c r="OE1" s="123" t="n"/>
      <c r="OF1" s="123" t="n"/>
      <c r="OG1" s="123" t="n"/>
      <c r="OH1" s="123" t="n"/>
      <c r="OI1" s="123" t="n"/>
      <c r="OJ1" s="123" t="n"/>
      <c r="OK1" s="122" t="inlineStr">
        <is>
          <t>2027年9月</t>
        </is>
      </c>
      <c r="OL1" s="123" t="n"/>
      <c r="OM1" s="123" t="n"/>
      <c r="ON1" s="123" t="n"/>
      <c r="OO1" s="123" t="n"/>
      <c r="OP1" s="123" t="n"/>
      <c r="OQ1" s="123" t="n"/>
      <c r="OR1" s="123" t="n"/>
      <c r="OS1" s="123" t="n"/>
      <c r="OT1" s="123" t="n"/>
      <c r="OU1" s="123" t="n"/>
      <c r="OV1" s="123" t="n"/>
      <c r="OW1" s="123" t="n"/>
      <c r="OX1" s="123" t="n"/>
      <c r="OY1" s="123" t="n"/>
      <c r="OZ1" s="123" t="n"/>
      <c r="PA1" s="123" t="n"/>
      <c r="PB1" s="123" t="n"/>
      <c r="PC1" s="123" t="n"/>
      <c r="PD1" s="123" t="n"/>
      <c r="PE1" s="123" t="n"/>
      <c r="PF1" s="123" t="n"/>
      <c r="PG1" s="123" t="n"/>
      <c r="PH1" s="123" t="n"/>
      <c r="PI1" s="123" t="n"/>
      <c r="PJ1" s="123" t="n"/>
      <c r="PK1" s="123" t="n"/>
      <c r="PL1" s="123" t="n"/>
      <c r="PM1" s="123" t="n"/>
      <c r="PN1" s="123" t="n"/>
      <c r="PO1" s="122" t="inlineStr">
        <is>
          <t>2027年10月</t>
        </is>
      </c>
      <c r="PP1" s="123" t="n"/>
      <c r="PQ1" s="123" t="n"/>
      <c r="PR1" s="123" t="n"/>
      <c r="PS1" s="123" t="n"/>
      <c r="PT1" s="123" t="n"/>
      <c r="PU1" s="123" t="n"/>
      <c r="PV1" s="123" t="n"/>
      <c r="PW1" s="123" t="n"/>
      <c r="PX1" s="123" t="n"/>
      <c r="PY1" s="123" t="n"/>
      <c r="PZ1" s="123" t="n"/>
      <c r="QA1" s="123" t="n"/>
      <c r="QB1" s="123" t="n"/>
      <c r="QC1" s="123" t="n"/>
      <c r="QD1" s="123" t="n"/>
      <c r="QE1" s="123" t="n"/>
      <c r="QF1" s="123" t="n"/>
      <c r="QG1" s="123" t="n"/>
      <c r="QH1" s="123" t="n"/>
      <c r="QI1" s="123" t="n"/>
      <c r="QJ1" s="123" t="n"/>
      <c r="QK1" s="123" t="n"/>
      <c r="QL1" s="123" t="n"/>
      <c r="QM1" s="123" t="n"/>
      <c r="QN1" s="123" t="n"/>
      <c r="QO1" s="123" t="n"/>
      <c r="QP1" s="123" t="n"/>
      <c r="QQ1" s="123" t="n"/>
      <c r="QR1" s="123" t="n"/>
      <c r="QS1" s="123" t="n"/>
      <c r="QT1" s="122" t="inlineStr">
        <is>
          <t>2027年11月</t>
        </is>
      </c>
      <c r="QU1" s="123" t="n"/>
      <c r="QV1" s="123" t="n"/>
      <c r="QW1" s="123" t="n"/>
      <c r="QX1" s="123" t="n"/>
      <c r="QY1" s="123" t="n"/>
      <c r="QZ1" s="123" t="n"/>
      <c r="RA1" s="123" t="n"/>
      <c r="RB1" s="123" t="n"/>
      <c r="RC1" s="123" t="n"/>
      <c r="RD1" s="123" t="n"/>
      <c r="RE1" s="123" t="n"/>
      <c r="RF1" s="123" t="n"/>
      <c r="RG1" s="123" t="n"/>
      <c r="RH1" s="123" t="n"/>
      <c r="RI1" s="123" t="n"/>
      <c r="RJ1" s="123" t="n"/>
      <c r="RK1" s="123" t="n"/>
      <c r="RL1" s="123" t="n"/>
      <c r="RM1" s="123" t="n"/>
      <c r="RN1" s="123" t="n"/>
      <c r="RO1" s="123" t="n"/>
      <c r="RP1" s="123" t="n"/>
      <c r="RQ1" s="123" t="n"/>
      <c r="RR1" s="123" t="n"/>
      <c r="RS1" s="123" t="n"/>
      <c r="RT1" s="123" t="n"/>
      <c r="RU1" s="123" t="n"/>
      <c r="RV1" s="123" t="n"/>
      <c r="RW1" s="123" t="n"/>
      <c r="RX1" s="122" t="inlineStr">
        <is>
          <t>2027年12月</t>
        </is>
      </c>
      <c r="RY1" s="123" t="n"/>
      <c r="RZ1" s="123" t="n"/>
      <c r="SA1" s="123" t="n"/>
      <c r="SB1" s="123" t="n"/>
      <c r="SC1" s="123" t="n"/>
      <c r="SD1" s="123" t="n"/>
      <c r="SE1" s="123" t="n"/>
      <c r="SF1" s="123" t="n"/>
      <c r="SG1" s="123" t="n"/>
      <c r="SH1" s="123" t="n"/>
      <c r="SI1" s="123" t="n"/>
      <c r="SJ1" s="123" t="n"/>
      <c r="SK1" s="123" t="n"/>
      <c r="SL1" s="123" t="n"/>
      <c r="SM1" s="123" t="n"/>
      <c r="SN1" s="123" t="n"/>
      <c r="SO1" s="123" t="n"/>
      <c r="SP1" s="123" t="n"/>
      <c r="SQ1" s="123" t="n"/>
      <c r="SR1" s="123" t="n"/>
      <c r="SS1" s="123" t="n"/>
      <c r="ST1" s="123" t="n"/>
      <c r="SU1" s="123" t="n"/>
      <c r="SV1" s="123" t="n"/>
      <c r="SW1" s="123" t="n"/>
      <c r="SX1" s="123" t="n"/>
      <c r="SY1" s="123" t="n"/>
      <c r="SZ1" s="123" t="n"/>
      <c r="TA1" s="123" t="n"/>
      <c r="TB1" s="123" t="n"/>
    </row>
    <row r="2" ht="22" customFormat="1" customHeight="1" s="58">
      <c r="A2" s="9" t="n"/>
      <c r="B2" s="9" t="n"/>
      <c r="C2" s="9" t="n"/>
      <c r="D2" s="9" t="n"/>
      <c r="E2" s="9" t="n"/>
      <c r="F2" s="9" t="n"/>
      <c r="G2" s="15" t="inlineStr">
        <is>
          <t>状态</t>
        </is>
      </c>
      <c r="H2" s="15" t="inlineStr">
        <is>
          <t>进度备注</t>
        </is>
      </c>
      <c r="I2" s="9" t="n"/>
      <c r="J2" s="9" t="n"/>
      <c r="K2" s="9" t="n"/>
      <c r="L2" s="9" t="n"/>
      <c r="M2" s="9" t="n"/>
      <c r="N2" s="15" t="inlineStr">
        <is>
          <t>计划开始</t>
        </is>
      </c>
      <c r="O2" s="15" t="inlineStr">
        <is>
          <t>计划结束</t>
        </is>
      </c>
      <c r="P2" s="15" t="inlineStr">
        <is>
          <t>计划天数</t>
        </is>
      </c>
      <c r="Q2" s="9" t="n"/>
      <c r="R2" s="15" t="inlineStr">
        <is>
          <t>主责</t>
        </is>
      </c>
      <c r="S2" s="15" t="inlineStr">
        <is>
          <t>协助或支持</t>
        </is>
      </c>
      <c r="T2" s="9" t="n"/>
      <c r="U2" s="124" t="n">
        <v>46251</v>
      </c>
      <c r="V2" s="124" t="n">
        <v>46252</v>
      </c>
      <c r="W2" s="124" t="n">
        <v>46253</v>
      </c>
      <c r="X2" s="124" t="n">
        <v>46254</v>
      </c>
      <c r="Y2" s="124" t="n">
        <v>46255</v>
      </c>
      <c r="Z2" s="125" t="n">
        <v>46256</v>
      </c>
      <c r="AA2" s="125" t="n">
        <v>46257</v>
      </c>
      <c r="AB2" s="124" t="n">
        <v>46258</v>
      </c>
      <c r="AC2" s="124" t="n">
        <v>46259</v>
      </c>
      <c r="AD2" s="124" t="n">
        <v>46260</v>
      </c>
      <c r="AE2" s="124" t="n">
        <v>46261</v>
      </c>
      <c r="AF2" s="124" t="n">
        <v>46262</v>
      </c>
      <c r="AG2" s="125" t="n">
        <v>46263</v>
      </c>
      <c r="AH2" s="125" t="n">
        <v>46264</v>
      </c>
      <c r="AI2" s="124" t="n">
        <v>46265</v>
      </c>
      <c r="AJ2" s="124" t="n">
        <v>46266</v>
      </c>
      <c r="AK2" s="124" t="n">
        <v>46267</v>
      </c>
      <c r="AL2" s="124" t="n">
        <v>46268</v>
      </c>
      <c r="AM2" s="124" t="n">
        <v>46269</v>
      </c>
      <c r="AN2" s="125" t="n">
        <v>46270</v>
      </c>
      <c r="AO2" s="125" t="n">
        <v>46271</v>
      </c>
      <c r="AP2" s="124" t="n">
        <v>46272</v>
      </c>
      <c r="AQ2" s="124" t="n">
        <v>46273</v>
      </c>
      <c r="AR2" s="124" t="n">
        <v>46274</v>
      </c>
      <c r="AS2" s="124" t="n">
        <v>46275</v>
      </c>
      <c r="AT2" s="124" t="n">
        <v>46276</v>
      </c>
      <c r="AU2" s="125" t="n">
        <v>46277</v>
      </c>
      <c r="AV2" s="125" t="n">
        <v>46278</v>
      </c>
      <c r="AW2" s="124" t="n">
        <v>46279</v>
      </c>
      <c r="AX2" s="124" t="n">
        <v>46280</v>
      </c>
      <c r="AY2" s="124" t="n">
        <v>46281</v>
      </c>
      <c r="AZ2" s="124" t="n">
        <v>46282</v>
      </c>
      <c r="BA2" s="124" t="n">
        <v>46283</v>
      </c>
      <c r="BB2" s="125" t="n">
        <v>46284</v>
      </c>
      <c r="BC2" s="125" t="n">
        <v>46285</v>
      </c>
      <c r="BD2" s="124" t="n">
        <v>46286</v>
      </c>
      <c r="BE2" s="124" t="n">
        <v>46287</v>
      </c>
      <c r="BF2" s="124" t="n">
        <v>46288</v>
      </c>
      <c r="BG2" s="124" t="n">
        <v>46289</v>
      </c>
      <c r="BH2" s="124" t="n">
        <v>46290</v>
      </c>
      <c r="BI2" s="125" t="n">
        <v>46291</v>
      </c>
      <c r="BJ2" s="125" t="n">
        <v>46292</v>
      </c>
      <c r="BK2" s="124" t="n">
        <v>46293</v>
      </c>
      <c r="BL2" s="124" t="n">
        <v>46294</v>
      </c>
      <c r="BM2" s="124" t="n">
        <v>46295</v>
      </c>
      <c r="BN2" s="124" t="n">
        <v>46296</v>
      </c>
      <c r="BO2" s="124" t="n">
        <v>46297</v>
      </c>
      <c r="BP2" s="125" t="n">
        <v>46298</v>
      </c>
      <c r="BQ2" s="125" t="n">
        <v>46299</v>
      </c>
      <c r="BR2" s="124" t="n">
        <v>46300</v>
      </c>
      <c r="BS2" s="124" t="n">
        <v>46301</v>
      </c>
      <c r="BT2" s="124" t="n">
        <v>46302</v>
      </c>
      <c r="BU2" s="124" t="n">
        <v>46303</v>
      </c>
      <c r="BV2" s="124" t="n">
        <v>46304</v>
      </c>
      <c r="BW2" s="125" t="n">
        <v>46305</v>
      </c>
      <c r="BX2" s="125" t="n">
        <v>46306</v>
      </c>
      <c r="BY2" s="124" t="n">
        <v>46307</v>
      </c>
      <c r="BZ2" s="124" t="n">
        <v>46308</v>
      </c>
      <c r="CA2" s="124" t="n">
        <v>46309</v>
      </c>
      <c r="CB2" s="124" t="n">
        <v>46310</v>
      </c>
      <c r="CC2" s="124" t="n">
        <v>46311</v>
      </c>
      <c r="CD2" s="125" t="n">
        <v>46312</v>
      </c>
      <c r="CE2" s="125" t="n">
        <v>46313</v>
      </c>
      <c r="CF2" s="124" t="n">
        <v>46314</v>
      </c>
      <c r="CG2" s="124" t="n">
        <v>46315</v>
      </c>
      <c r="CH2" s="124" t="n">
        <v>46316</v>
      </c>
      <c r="CI2" s="124" t="n">
        <v>46317</v>
      </c>
      <c r="CJ2" s="124" t="n">
        <v>46318</v>
      </c>
      <c r="CK2" s="125" t="n">
        <v>46319</v>
      </c>
      <c r="CL2" s="125" t="n">
        <v>46320</v>
      </c>
      <c r="CM2" s="124" t="n">
        <v>46321</v>
      </c>
      <c r="CN2" s="124" t="n">
        <v>46322</v>
      </c>
      <c r="CO2" s="124" t="n">
        <v>46323</v>
      </c>
      <c r="CP2" s="124" t="n">
        <v>46324</v>
      </c>
      <c r="CQ2" s="124" t="n">
        <v>46325</v>
      </c>
      <c r="CR2" s="125" t="n">
        <v>46326</v>
      </c>
      <c r="CS2" s="125" t="n">
        <v>46327</v>
      </c>
      <c r="CT2" s="124" t="n">
        <v>46328</v>
      </c>
      <c r="CU2" s="124" t="n">
        <v>46329</v>
      </c>
      <c r="CV2" s="124" t="n">
        <v>46330</v>
      </c>
      <c r="CW2" s="124" t="n">
        <v>46331</v>
      </c>
      <c r="CX2" s="124" t="n">
        <v>46332</v>
      </c>
      <c r="CY2" s="125" t="n">
        <v>46333</v>
      </c>
      <c r="CZ2" s="125" t="n">
        <v>46334</v>
      </c>
      <c r="DA2" s="124" t="n">
        <v>46335</v>
      </c>
      <c r="DB2" s="124" t="n">
        <v>46336</v>
      </c>
      <c r="DC2" s="124" t="n">
        <v>46337</v>
      </c>
      <c r="DD2" s="124" t="n">
        <v>46338</v>
      </c>
      <c r="DE2" s="124" t="n">
        <v>46339</v>
      </c>
      <c r="DF2" s="125" t="n">
        <v>46340</v>
      </c>
      <c r="DG2" s="125" t="n">
        <v>46341</v>
      </c>
      <c r="DH2" s="124" t="n">
        <v>46342</v>
      </c>
      <c r="DI2" s="124" t="n">
        <v>46343</v>
      </c>
      <c r="DJ2" s="124" t="n">
        <v>46344</v>
      </c>
      <c r="DK2" s="124" t="n">
        <v>46345</v>
      </c>
      <c r="DL2" s="124" t="n">
        <v>46346</v>
      </c>
      <c r="DM2" s="125" t="n">
        <v>46347</v>
      </c>
      <c r="DN2" s="125" t="n">
        <v>46348</v>
      </c>
      <c r="DO2" s="124" t="n">
        <v>46349</v>
      </c>
      <c r="DP2" s="124" t="n">
        <v>46350</v>
      </c>
      <c r="DQ2" s="124" t="n">
        <v>46351</v>
      </c>
      <c r="DR2" s="124" t="n">
        <v>46352</v>
      </c>
      <c r="DS2" s="124" t="n">
        <v>46353</v>
      </c>
      <c r="DT2" s="125" t="n">
        <v>46354</v>
      </c>
      <c r="DU2" s="125" t="n">
        <v>46355</v>
      </c>
      <c r="DV2" s="124" t="n">
        <v>46356</v>
      </c>
      <c r="DW2" s="124" t="n">
        <v>46357</v>
      </c>
      <c r="DX2" s="124" t="n">
        <v>46358</v>
      </c>
      <c r="DY2" s="124" t="n">
        <v>46359</v>
      </c>
      <c r="DZ2" s="124" t="n">
        <v>46360</v>
      </c>
      <c r="EA2" s="125" t="n">
        <v>46361</v>
      </c>
      <c r="EB2" s="125" t="n">
        <v>46362</v>
      </c>
      <c r="EC2" s="124" t="n">
        <v>46363</v>
      </c>
      <c r="ED2" s="124" t="n">
        <v>46364</v>
      </c>
      <c r="EE2" s="124" t="n">
        <v>46365</v>
      </c>
      <c r="EF2" s="124" t="n">
        <v>46366</v>
      </c>
      <c r="EG2" s="124" t="n">
        <v>46367</v>
      </c>
      <c r="EH2" s="125" t="n">
        <v>46368</v>
      </c>
      <c r="EI2" s="125" t="n">
        <v>46369</v>
      </c>
      <c r="EJ2" s="124" t="n">
        <v>46370</v>
      </c>
      <c r="EK2" s="124" t="n">
        <v>46371</v>
      </c>
      <c r="EL2" s="124" t="n">
        <v>46372</v>
      </c>
      <c r="EM2" s="124" t="n">
        <v>46373</v>
      </c>
      <c r="EN2" s="124" t="n">
        <v>46374</v>
      </c>
      <c r="EO2" s="125" t="n">
        <v>46375</v>
      </c>
      <c r="EP2" s="125" t="n">
        <v>46376</v>
      </c>
      <c r="EQ2" s="124" t="n">
        <v>46377</v>
      </c>
      <c r="ER2" s="124" t="n">
        <v>46378</v>
      </c>
      <c r="ES2" s="124" t="n">
        <v>46379</v>
      </c>
      <c r="ET2" s="124" t="n">
        <v>46380</v>
      </c>
      <c r="EU2" s="124" t="n">
        <v>46381</v>
      </c>
      <c r="EV2" s="125" t="n">
        <v>46382</v>
      </c>
      <c r="EW2" s="125" t="n">
        <v>46383</v>
      </c>
      <c r="EX2" s="124" t="n">
        <v>46384</v>
      </c>
      <c r="EY2" s="124" t="n">
        <v>46385</v>
      </c>
      <c r="EZ2" s="124" t="n">
        <v>46386</v>
      </c>
      <c r="FA2" s="124" t="n">
        <v>46387</v>
      </c>
      <c r="FB2" s="124" t="n">
        <v>46388</v>
      </c>
      <c r="FC2" s="125" t="n">
        <v>46389</v>
      </c>
      <c r="FD2" s="125" t="n">
        <v>46390</v>
      </c>
      <c r="FE2" s="124" t="n">
        <v>46391</v>
      </c>
      <c r="FF2" s="124" t="n">
        <v>46392</v>
      </c>
      <c r="FG2" s="124" t="n">
        <v>46393</v>
      </c>
      <c r="FH2" s="124" t="n">
        <v>46394</v>
      </c>
      <c r="FI2" s="124" t="n">
        <v>46395</v>
      </c>
      <c r="FJ2" s="125" t="n">
        <v>46396</v>
      </c>
      <c r="FK2" s="125" t="n">
        <v>46397</v>
      </c>
      <c r="FL2" s="124" t="n">
        <v>46398</v>
      </c>
      <c r="FM2" s="124" t="n">
        <v>46399</v>
      </c>
      <c r="FN2" s="124" t="n">
        <v>46400</v>
      </c>
      <c r="FO2" s="124" t="n">
        <v>46401</v>
      </c>
      <c r="FP2" s="124" t="n">
        <v>46402</v>
      </c>
      <c r="FQ2" s="125" t="n">
        <v>46403</v>
      </c>
      <c r="FR2" s="125" t="n">
        <v>46404</v>
      </c>
      <c r="FS2" s="124" t="n">
        <v>46405</v>
      </c>
      <c r="FT2" s="124" t="n">
        <v>46406</v>
      </c>
      <c r="FU2" s="124" t="n">
        <v>46407</v>
      </c>
      <c r="FV2" s="124" t="n">
        <v>46408</v>
      </c>
      <c r="FW2" s="124" t="n">
        <v>46409</v>
      </c>
      <c r="FX2" s="125" t="n">
        <v>46410</v>
      </c>
      <c r="FY2" s="125" t="n">
        <v>46411</v>
      </c>
      <c r="FZ2" s="124" t="n">
        <v>46412</v>
      </c>
      <c r="GA2" s="124" t="n">
        <v>46413</v>
      </c>
      <c r="GB2" s="124" t="n">
        <v>46414</v>
      </c>
      <c r="GC2" s="124" t="n">
        <v>46415</v>
      </c>
      <c r="GD2" s="124" t="n">
        <v>46416</v>
      </c>
      <c r="GE2" s="125" t="n">
        <v>46417</v>
      </c>
      <c r="GF2" s="125" t="n">
        <v>46418</v>
      </c>
      <c r="GG2" s="124" t="n">
        <v>46419</v>
      </c>
      <c r="GH2" s="124" t="n">
        <v>46420</v>
      </c>
      <c r="GI2" s="124" t="n">
        <v>46421</v>
      </c>
      <c r="GJ2" s="124" t="n">
        <v>46422</v>
      </c>
      <c r="GK2" s="124" t="n">
        <v>46423</v>
      </c>
      <c r="GL2" s="125" t="n">
        <v>46424</v>
      </c>
      <c r="GM2" s="125" t="n">
        <v>46425</v>
      </c>
      <c r="GN2" s="124" t="n">
        <v>46426</v>
      </c>
      <c r="GO2" s="124" t="n">
        <v>46427</v>
      </c>
      <c r="GP2" s="124" t="n">
        <v>46428</v>
      </c>
      <c r="GQ2" s="124" t="n">
        <v>46429</v>
      </c>
      <c r="GR2" s="124" t="n">
        <v>46430</v>
      </c>
      <c r="GS2" s="125" t="n">
        <v>46431</v>
      </c>
      <c r="GT2" s="125" t="n">
        <v>46432</v>
      </c>
      <c r="GU2" s="124" t="n">
        <v>46433</v>
      </c>
      <c r="GV2" s="124" t="n">
        <v>46434</v>
      </c>
      <c r="GW2" s="124" t="n">
        <v>46435</v>
      </c>
      <c r="GX2" s="124" t="n">
        <v>46436</v>
      </c>
      <c r="GY2" s="124" t="n">
        <v>46437</v>
      </c>
      <c r="GZ2" s="125" t="n">
        <v>46438</v>
      </c>
      <c r="HA2" s="125" t="n">
        <v>46439</v>
      </c>
      <c r="HB2" s="124" t="n">
        <v>46440</v>
      </c>
      <c r="HC2" s="124" t="n">
        <v>46441</v>
      </c>
      <c r="HD2" s="124" t="n">
        <v>46442</v>
      </c>
      <c r="HE2" s="124" t="n">
        <v>46443</v>
      </c>
      <c r="HF2" s="124" t="n">
        <v>46444</v>
      </c>
      <c r="HG2" s="125" t="n">
        <v>46445</v>
      </c>
      <c r="HH2" s="125" t="n">
        <v>46446</v>
      </c>
      <c r="HI2" s="124" t="n">
        <v>46447</v>
      </c>
      <c r="HJ2" s="124" t="n">
        <v>46448</v>
      </c>
      <c r="HK2" s="124" t="n">
        <v>46449</v>
      </c>
      <c r="HL2" s="124" t="n">
        <v>46450</v>
      </c>
      <c r="HM2" s="124" t="n">
        <v>46451</v>
      </c>
      <c r="HN2" s="125" t="n">
        <v>46452</v>
      </c>
      <c r="HO2" s="125" t="n">
        <v>46453</v>
      </c>
      <c r="HP2" s="124" t="n">
        <v>46454</v>
      </c>
      <c r="HQ2" s="124" t="n">
        <v>46455</v>
      </c>
      <c r="HR2" s="124" t="n">
        <v>46456</v>
      </c>
      <c r="HS2" s="124" t="n">
        <v>46457</v>
      </c>
      <c r="HT2" s="124" t="n">
        <v>46458</v>
      </c>
      <c r="HU2" s="125" t="n">
        <v>46459</v>
      </c>
      <c r="HV2" s="125" t="n">
        <v>46460</v>
      </c>
      <c r="HW2" s="124" t="n">
        <v>46461</v>
      </c>
      <c r="HX2" s="124" t="n">
        <v>46462</v>
      </c>
      <c r="HY2" s="124" t="n">
        <v>46463</v>
      </c>
      <c r="HZ2" s="124" t="n">
        <v>46464</v>
      </c>
      <c r="IA2" s="124" t="n">
        <v>46465</v>
      </c>
      <c r="IB2" s="125" t="n">
        <v>46466</v>
      </c>
      <c r="IC2" s="125" t="n">
        <v>46467</v>
      </c>
      <c r="ID2" s="124" t="n">
        <v>46468</v>
      </c>
      <c r="IE2" s="124" t="n">
        <v>46469</v>
      </c>
      <c r="IF2" s="124" t="n">
        <v>46470</v>
      </c>
      <c r="IG2" s="124" t="n">
        <v>46471</v>
      </c>
      <c r="IH2" s="124" t="n">
        <v>46472</v>
      </c>
      <c r="II2" s="125" t="n">
        <v>46473</v>
      </c>
      <c r="IJ2" s="125" t="n">
        <v>46474</v>
      </c>
      <c r="IK2" s="124" t="n">
        <v>46475</v>
      </c>
      <c r="IL2" s="124" t="n">
        <v>46476</v>
      </c>
      <c r="IM2" s="124" t="n">
        <v>46477</v>
      </c>
      <c r="IN2" s="124" t="n">
        <v>46478</v>
      </c>
      <c r="IO2" s="124" t="n">
        <v>46479</v>
      </c>
      <c r="IP2" s="125" t="n">
        <v>46480</v>
      </c>
      <c r="IQ2" s="125" t="n">
        <v>46481</v>
      </c>
      <c r="IR2" s="124" t="n">
        <v>46482</v>
      </c>
      <c r="IS2" s="124" t="n">
        <v>46483</v>
      </c>
      <c r="IT2" s="124" t="n">
        <v>46484</v>
      </c>
      <c r="IU2" s="124" t="n">
        <v>46485</v>
      </c>
      <c r="IV2" s="124" t="n">
        <v>46486</v>
      </c>
      <c r="IW2" s="125" t="n">
        <v>46487</v>
      </c>
      <c r="IX2" s="125" t="n">
        <v>46488</v>
      </c>
      <c r="IY2" s="124" t="n">
        <v>46489</v>
      </c>
      <c r="IZ2" s="124" t="n">
        <v>46490</v>
      </c>
      <c r="JA2" s="124" t="n">
        <v>46491</v>
      </c>
      <c r="JB2" s="124" t="n">
        <v>46492</v>
      </c>
      <c r="JC2" s="124" t="n">
        <v>46493</v>
      </c>
      <c r="JD2" s="125" t="n">
        <v>46494</v>
      </c>
      <c r="JE2" s="125" t="n">
        <v>46495</v>
      </c>
      <c r="JF2" s="124" t="n">
        <v>46496</v>
      </c>
      <c r="JG2" s="124" t="n">
        <v>46497</v>
      </c>
      <c r="JH2" s="124" t="n">
        <v>46498</v>
      </c>
      <c r="JI2" s="124" t="n">
        <v>46499</v>
      </c>
      <c r="JJ2" s="124" t="n">
        <v>46500</v>
      </c>
      <c r="JK2" s="125" t="n">
        <v>46501</v>
      </c>
      <c r="JL2" s="125" t="n">
        <v>46502</v>
      </c>
      <c r="JM2" s="124" t="n">
        <v>46503</v>
      </c>
      <c r="JN2" s="124" t="n">
        <v>46504</v>
      </c>
      <c r="JO2" s="124" t="n">
        <v>46505</v>
      </c>
      <c r="JP2" s="124" t="n">
        <v>46506</v>
      </c>
      <c r="JQ2" s="124" t="n">
        <v>46507</v>
      </c>
      <c r="JR2" s="125" t="n">
        <v>46508</v>
      </c>
      <c r="JS2" s="125" t="n">
        <v>46509</v>
      </c>
      <c r="JT2" s="124" t="n">
        <v>46510</v>
      </c>
      <c r="JU2" s="124" t="n">
        <v>46511</v>
      </c>
      <c r="JV2" s="124" t="n">
        <v>46512</v>
      </c>
      <c r="JW2" s="124" t="n">
        <v>46513</v>
      </c>
      <c r="JX2" s="124" t="n">
        <v>46514</v>
      </c>
      <c r="JY2" s="125" t="n">
        <v>46515</v>
      </c>
      <c r="JZ2" s="125" t="n">
        <v>46516</v>
      </c>
      <c r="KA2" s="124" t="n">
        <v>46517</v>
      </c>
      <c r="KB2" s="124" t="n">
        <v>46518</v>
      </c>
      <c r="KC2" s="124" t="n">
        <v>46519</v>
      </c>
      <c r="KD2" s="124" t="n">
        <v>46520</v>
      </c>
      <c r="KE2" s="124" t="n">
        <v>46521</v>
      </c>
      <c r="KF2" s="125" t="n">
        <v>46522</v>
      </c>
      <c r="KG2" s="125" t="n">
        <v>46523</v>
      </c>
      <c r="KH2" s="124" t="n">
        <v>46524</v>
      </c>
      <c r="KI2" s="124" t="n">
        <v>46525</v>
      </c>
      <c r="KJ2" s="124" t="n">
        <v>46526</v>
      </c>
      <c r="KK2" s="124" t="n">
        <v>46527</v>
      </c>
      <c r="KL2" s="124" t="n">
        <v>46528</v>
      </c>
      <c r="KM2" s="125" t="n">
        <v>46529</v>
      </c>
      <c r="KN2" s="125" t="n">
        <v>46530</v>
      </c>
      <c r="KO2" s="124" t="n">
        <v>46531</v>
      </c>
      <c r="KP2" s="124" t="n">
        <v>46532</v>
      </c>
      <c r="KQ2" s="124" t="n">
        <v>46533</v>
      </c>
      <c r="KR2" s="124" t="n">
        <v>46534</v>
      </c>
      <c r="KS2" s="124" t="n">
        <v>46535</v>
      </c>
      <c r="KT2" s="125" t="n">
        <v>46536</v>
      </c>
      <c r="KU2" s="125" t="n">
        <v>46537</v>
      </c>
      <c r="KV2" s="124" t="n">
        <v>46538</v>
      </c>
      <c r="KW2" s="124" t="n">
        <v>46539</v>
      </c>
      <c r="KX2" s="124" t="n">
        <v>46540</v>
      </c>
      <c r="KY2" s="124" t="n">
        <v>46541</v>
      </c>
      <c r="KZ2" s="124" t="n">
        <v>46542</v>
      </c>
      <c r="LA2" s="125" t="n">
        <v>46543</v>
      </c>
      <c r="LB2" s="125" t="n">
        <v>46544</v>
      </c>
      <c r="LC2" s="124" t="n">
        <v>46545</v>
      </c>
      <c r="LD2" s="124" t="n">
        <v>46546</v>
      </c>
      <c r="LE2" s="124" t="n">
        <v>46547</v>
      </c>
      <c r="LF2" s="124" t="n">
        <v>46548</v>
      </c>
      <c r="LG2" s="124" t="n">
        <v>46549</v>
      </c>
      <c r="LH2" s="125" t="n">
        <v>46550</v>
      </c>
      <c r="LI2" s="125" t="n">
        <v>46551</v>
      </c>
      <c r="LJ2" s="124" t="n">
        <v>46552</v>
      </c>
      <c r="LK2" s="124" t="n">
        <v>46553</v>
      </c>
      <c r="LL2" s="124" t="n">
        <v>46554</v>
      </c>
      <c r="LM2" s="124" t="n">
        <v>46555</v>
      </c>
      <c r="LN2" s="124" t="n">
        <v>46556</v>
      </c>
      <c r="LO2" s="125" t="n">
        <v>46557</v>
      </c>
      <c r="LP2" s="125" t="n">
        <v>46558</v>
      </c>
      <c r="LQ2" s="124" t="n">
        <v>46559</v>
      </c>
      <c r="LR2" s="124" t="n">
        <v>46560</v>
      </c>
      <c r="LS2" s="124" t="n">
        <v>46561</v>
      </c>
      <c r="LT2" s="124" t="n">
        <v>46562</v>
      </c>
      <c r="LU2" s="124" t="n">
        <v>46563</v>
      </c>
      <c r="LV2" s="125" t="n">
        <v>46564</v>
      </c>
      <c r="LW2" s="125" t="n">
        <v>46565</v>
      </c>
      <c r="LX2" s="124" t="n">
        <v>46566</v>
      </c>
      <c r="LY2" s="124" t="n">
        <v>46567</v>
      </c>
      <c r="LZ2" s="124" t="n">
        <v>46568</v>
      </c>
      <c r="MA2" s="124" t="n">
        <v>46569</v>
      </c>
      <c r="MB2" s="124" t="n">
        <v>46570</v>
      </c>
      <c r="MC2" s="125" t="n">
        <v>46571</v>
      </c>
      <c r="MD2" s="125" t="n">
        <v>46572</v>
      </c>
      <c r="ME2" s="124" t="n">
        <v>46573</v>
      </c>
      <c r="MF2" s="124" t="n">
        <v>46574</v>
      </c>
      <c r="MG2" s="124" t="n">
        <v>46575</v>
      </c>
      <c r="MH2" s="124" t="n">
        <v>46576</v>
      </c>
      <c r="MI2" s="124" t="n">
        <v>46577</v>
      </c>
      <c r="MJ2" s="125" t="n">
        <v>46578</v>
      </c>
      <c r="MK2" s="125" t="n">
        <v>46579</v>
      </c>
      <c r="ML2" s="124" t="n">
        <v>46580</v>
      </c>
      <c r="MM2" s="124" t="n">
        <v>46581</v>
      </c>
      <c r="MN2" s="124" t="n">
        <v>46582</v>
      </c>
      <c r="MO2" s="124" t="n">
        <v>46583</v>
      </c>
      <c r="MP2" s="124" t="n">
        <v>46584</v>
      </c>
      <c r="MQ2" s="125" t="n">
        <v>46585</v>
      </c>
      <c r="MR2" s="125" t="n">
        <v>46586</v>
      </c>
      <c r="MS2" s="124" t="n">
        <v>46587</v>
      </c>
      <c r="MT2" s="124" t="n">
        <v>46588</v>
      </c>
      <c r="MU2" s="124" t="n">
        <v>46589</v>
      </c>
      <c r="MV2" s="124" t="n">
        <v>46590</v>
      </c>
      <c r="MW2" s="124" t="n">
        <v>46591</v>
      </c>
      <c r="MX2" s="125" t="n">
        <v>46592</v>
      </c>
      <c r="MY2" s="125" t="n">
        <v>46593</v>
      </c>
      <c r="MZ2" s="124" t="n">
        <v>46594</v>
      </c>
      <c r="NA2" s="124" t="n">
        <v>46595</v>
      </c>
      <c r="NB2" s="124" t="n">
        <v>46596</v>
      </c>
      <c r="NC2" s="124" t="n">
        <v>46597</v>
      </c>
      <c r="ND2" s="124" t="n">
        <v>46598</v>
      </c>
      <c r="NE2" s="125" t="n">
        <v>46599</v>
      </c>
      <c r="NF2" s="125" t="n">
        <v>46600</v>
      </c>
      <c r="NG2" s="124" t="n">
        <v>46601</v>
      </c>
      <c r="NH2" s="124" t="n">
        <v>46602</v>
      </c>
      <c r="NI2" s="124" t="n">
        <v>46603</v>
      </c>
      <c r="NJ2" s="124" t="n">
        <v>46604</v>
      </c>
      <c r="NK2" s="124" t="n">
        <v>46605</v>
      </c>
      <c r="NL2" s="125" t="n">
        <v>46606</v>
      </c>
      <c r="NM2" s="125" t="n">
        <v>46607</v>
      </c>
      <c r="NN2" s="124" t="n">
        <v>46608</v>
      </c>
      <c r="NO2" s="124" t="n">
        <v>46609</v>
      </c>
      <c r="NP2" s="124" t="n">
        <v>46610</v>
      </c>
      <c r="NQ2" s="124" t="n">
        <v>46611</v>
      </c>
      <c r="NR2" s="124" t="n">
        <v>46612</v>
      </c>
      <c r="NS2" s="125" t="n">
        <v>46613</v>
      </c>
      <c r="NT2" s="125" t="n">
        <v>46614</v>
      </c>
      <c r="NU2" s="124" t="n">
        <v>46615</v>
      </c>
      <c r="NV2" s="124" t="n">
        <v>46616</v>
      </c>
      <c r="NW2" s="124" t="n">
        <v>46617</v>
      </c>
      <c r="NX2" s="124" t="n">
        <v>46618</v>
      </c>
      <c r="NY2" s="124" t="n">
        <v>46619</v>
      </c>
      <c r="NZ2" s="125" t="n">
        <v>46620</v>
      </c>
      <c r="OA2" s="125" t="n">
        <v>46621</v>
      </c>
      <c r="OB2" s="124" t="n">
        <v>46622</v>
      </c>
      <c r="OC2" s="124" t="n">
        <v>46623</v>
      </c>
      <c r="OD2" s="124" t="n">
        <v>46624</v>
      </c>
      <c r="OE2" s="124" t="n">
        <v>46625</v>
      </c>
      <c r="OF2" s="124" t="n">
        <v>46626</v>
      </c>
      <c r="OG2" s="125" t="n">
        <v>46627</v>
      </c>
      <c r="OH2" s="125" t="n">
        <v>46628</v>
      </c>
      <c r="OI2" s="124" t="n">
        <v>46629</v>
      </c>
      <c r="OJ2" s="124" t="n">
        <v>46630</v>
      </c>
      <c r="OK2" s="124" t="n">
        <v>46631</v>
      </c>
      <c r="OL2" s="124" t="n">
        <v>46632</v>
      </c>
      <c r="OM2" s="124" t="n">
        <v>46633</v>
      </c>
      <c r="ON2" s="125" t="n">
        <v>46634</v>
      </c>
      <c r="OO2" s="125" t="n">
        <v>46635</v>
      </c>
      <c r="OP2" s="124" t="n">
        <v>46636</v>
      </c>
      <c r="OQ2" s="124" t="n">
        <v>46637</v>
      </c>
      <c r="OR2" s="124" t="n">
        <v>46638</v>
      </c>
      <c r="OS2" s="124" t="n">
        <v>46639</v>
      </c>
      <c r="OT2" s="124" t="n">
        <v>46640</v>
      </c>
      <c r="OU2" s="125" t="n">
        <v>46641</v>
      </c>
      <c r="OV2" s="125" t="n">
        <v>46642</v>
      </c>
      <c r="OW2" s="124" t="n">
        <v>46643</v>
      </c>
      <c r="OX2" s="124" t="n">
        <v>46644</v>
      </c>
      <c r="OY2" s="124" t="n">
        <v>46645</v>
      </c>
      <c r="OZ2" s="124" t="n">
        <v>46646</v>
      </c>
      <c r="PA2" s="124" t="n">
        <v>46647</v>
      </c>
      <c r="PB2" s="125" t="n">
        <v>46648</v>
      </c>
      <c r="PC2" s="125" t="n">
        <v>46649</v>
      </c>
      <c r="PD2" s="124" t="n">
        <v>46650</v>
      </c>
      <c r="PE2" s="124" t="n">
        <v>46651</v>
      </c>
      <c r="PF2" s="124" t="n">
        <v>46652</v>
      </c>
      <c r="PG2" s="124" t="n">
        <v>46653</v>
      </c>
      <c r="PH2" s="124" t="n">
        <v>46654</v>
      </c>
      <c r="PI2" s="125" t="n">
        <v>46655</v>
      </c>
      <c r="PJ2" s="125" t="n">
        <v>46656</v>
      </c>
      <c r="PK2" s="124" t="n">
        <v>46657</v>
      </c>
      <c r="PL2" s="124" t="n">
        <v>46658</v>
      </c>
      <c r="PM2" s="124" t="n">
        <v>46659</v>
      </c>
      <c r="PN2" s="124" t="n">
        <v>46660</v>
      </c>
      <c r="PO2" s="124" t="n">
        <v>46661</v>
      </c>
      <c r="PP2" s="125" t="n">
        <v>46662</v>
      </c>
      <c r="PQ2" s="125" t="n">
        <v>46663</v>
      </c>
      <c r="PR2" s="124" t="n">
        <v>46664</v>
      </c>
      <c r="PS2" s="124" t="n">
        <v>46665</v>
      </c>
      <c r="PT2" s="124" t="n">
        <v>46666</v>
      </c>
      <c r="PU2" s="124" t="n">
        <v>46667</v>
      </c>
      <c r="PV2" s="124" t="n">
        <v>46668</v>
      </c>
      <c r="PW2" s="125" t="n">
        <v>46669</v>
      </c>
      <c r="PX2" s="125" t="n">
        <v>46670</v>
      </c>
      <c r="PY2" s="124" t="n">
        <v>46671</v>
      </c>
      <c r="PZ2" s="124" t="n">
        <v>46672</v>
      </c>
      <c r="QA2" s="124" t="n">
        <v>46673</v>
      </c>
      <c r="QB2" s="124" t="n">
        <v>46674</v>
      </c>
      <c r="QC2" s="124" t="n">
        <v>46675</v>
      </c>
      <c r="QD2" s="125" t="n">
        <v>46676</v>
      </c>
      <c r="QE2" s="125" t="n">
        <v>46677</v>
      </c>
      <c r="QF2" s="124" t="n">
        <v>46678</v>
      </c>
      <c r="QG2" s="124" t="n">
        <v>46679</v>
      </c>
      <c r="QH2" s="124" t="n">
        <v>46680</v>
      </c>
      <c r="QI2" s="124" t="n">
        <v>46681</v>
      </c>
      <c r="QJ2" s="124" t="n">
        <v>46682</v>
      </c>
      <c r="QK2" s="125" t="n">
        <v>46683</v>
      </c>
      <c r="QL2" s="125" t="n">
        <v>46684</v>
      </c>
      <c r="QM2" s="124" t="n">
        <v>46685</v>
      </c>
      <c r="QN2" s="124" t="n">
        <v>46686</v>
      </c>
      <c r="QO2" s="124" t="n">
        <v>46687</v>
      </c>
      <c r="QP2" s="124" t="n">
        <v>46688</v>
      </c>
      <c r="QQ2" s="124" t="n">
        <v>46689</v>
      </c>
      <c r="QR2" s="125" t="n">
        <v>46690</v>
      </c>
      <c r="QS2" s="125" t="n">
        <v>46691</v>
      </c>
      <c r="QT2" s="124" t="n">
        <v>46692</v>
      </c>
      <c r="QU2" s="124" t="n">
        <v>46693</v>
      </c>
      <c r="QV2" s="124" t="n">
        <v>46694</v>
      </c>
      <c r="QW2" s="124" t="n">
        <v>46695</v>
      </c>
      <c r="QX2" s="124" t="n">
        <v>46696</v>
      </c>
      <c r="QY2" s="125" t="n">
        <v>46697</v>
      </c>
      <c r="QZ2" s="125" t="n">
        <v>46698</v>
      </c>
      <c r="RA2" s="124" t="n">
        <v>46699</v>
      </c>
      <c r="RB2" s="124" t="n">
        <v>46700</v>
      </c>
      <c r="RC2" s="124" t="n">
        <v>46701</v>
      </c>
      <c r="RD2" s="124" t="n">
        <v>46702</v>
      </c>
      <c r="RE2" s="124" t="n">
        <v>46703</v>
      </c>
      <c r="RF2" s="125" t="n">
        <v>46704</v>
      </c>
      <c r="RG2" s="125" t="n">
        <v>46705</v>
      </c>
      <c r="RH2" s="124" t="n">
        <v>46706</v>
      </c>
      <c r="RI2" s="124" t="n">
        <v>46707</v>
      </c>
      <c r="RJ2" s="124" t="n">
        <v>46708</v>
      </c>
      <c r="RK2" s="124" t="n">
        <v>46709</v>
      </c>
      <c r="RL2" s="124" t="n">
        <v>46710</v>
      </c>
      <c r="RM2" s="125" t="n">
        <v>46711</v>
      </c>
      <c r="RN2" s="125" t="n">
        <v>46712</v>
      </c>
      <c r="RO2" s="124" t="n">
        <v>46713</v>
      </c>
      <c r="RP2" s="124" t="n">
        <v>46714</v>
      </c>
      <c r="RQ2" s="124" t="n">
        <v>46715</v>
      </c>
      <c r="RR2" s="124" t="n">
        <v>46716</v>
      </c>
      <c r="RS2" s="124" t="n">
        <v>46717</v>
      </c>
      <c r="RT2" s="125" t="n">
        <v>46718</v>
      </c>
      <c r="RU2" s="125" t="n">
        <v>46719</v>
      </c>
      <c r="RV2" s="124" t="n">
        <v>46720</v>
      </c>
      <c r="RW2" s="124" t="n">
        <v>46721</v>
      </c>
      <c r="RX2" s="124" t="n">
        <v>46722</v>
      </c>
      <c r="RY2" s="124" t="n">
        <v>46723</v>
      </c>
      <c r="RZ2" s="124" t="n">
        <v>46724</v>
      </c>
      <c r="SA2" s="125" t="n">
        <v>46725</v>
      </c>
      <c r="SB2" s="125" t="n">
        <v>46726</v>
      </c>
      <c r="SC2" s="124" t="n">
        <v>46727</v>
      </c>
      <c r="SD2" s="124" t="n">
        <v>46728</v>
      </c>
      <c r="SE2" s="124" t="n">
        <v>46729</v>
      </c>
      <c r="SF2" s="124" t="n">
        <v>46730</v>
      </c>
      <c r="SG2" s="124" t="n">
        <v>46731</v>
      </c>
      <c r="SH2" s="125" t="n">
        <v>46732</v>
      </c>
      <c r="SI2" s="125" t="n">
        <v>46733</v>
      </c>
      <c r="SJ2" s="124" t="n">
        <v>46734</v>
      </c>
      <c r="SK2" s="124" t="n">
        <v>46735</v>
      </c>
      <c r="SL2" s="124" t="n">
        <v>46736</v>
      </c>
      <c r="SM2" s="124" t="n">
        <v>46737</v>
      </c>
      <c r="SN2" s="124" t="n">
        <v>46738</v>
      </c>
      <c r="SO2" s="125" t="n">
        <v>46739</v>
      </c>
      <c r="SP2" s="125" t="n">
        <v>46740</v>
      </c>
      <c r="SQ2" s="124" t="n">
        <v>46741</v>
      </c>
      <c r="SR2" s="124" t="n">
        <v>46742</v>
      </c>
      <c r="SS2" s="124" t="n">
        <v>46743</v>
      </c>
      <c r="ST2" s="124" t="n">
        <v>46744</v>
      </c>
      <c r="SU2" s="124" t="n">
        <v>46745</v>
      </c>
      <c r="SV2" s="125" t="n">
        <v>46746</v>
      </c>
      <c r="SW2" s="125" t="n">
        <v>46747</v>
      </c>
      <c r="SX2" s="124" t="n">
        <v>46748</v>
      </c>
      <c r="SY2" s="124" t="n">
        <v>46749</v>
      </c>
      <c r="SZ2" s="124" t="n">
        <v>46750</v>
      </c>
      <c r="TA2" s="124" t="n">
        <v>46751</v>
      </c>
      <c r="TB2" s="124" t="n">
        <v>46752</v>
      </c>
    </row>
    <row r="3" ht="20" customFormat="1" customHeight="1" s="59">
      <c r="A3" s="126" t="n">
        <v>1</v>
      </c>
      <c r="B3" s="126" t="n"/>
      <c r="C3" s="126" t="n"/>
      <c r="D3" s="126" t="inlineStr">
        <is>
          <t>项目准备</t>
        </is>
      </c>
      <c r="E3" s="127" t="n"/>
      <c r="F3" s="127" t="n"/>
      <c r="G3" s="128">
        <f>IF(COUNTIF(G4:G15,"未完成")=COUNTA(G4:G15),"未完成",IF(COUNTIF(G4:G15,"已完成")=COUNTA(G4:G15),"已完成","进行中"))</f>
        <v/>
      </c>
      <c r="H3" s="129" t="n"/>
      <c r="I3" s="129" t="n"/>
      <c r="J3" s="128" t="n"/>
      <c r="K3" s="128" t="n"/>
      <c r="L3" s="128" t="n"/>
      <c r="M3" s="130" t="n"/>
      <c r="N3" s="131" t="n">
        <v>46258</v>
      </c>
      <c r="O3" s="131">
        <f>_xlfn.WORKDAY.INTL(N3,P3-1,1,法定节假日!$B$2:$B$67)</f>
        <v/>
      </c>
      <c r="P3" s="128" t="n">
        <v>10</v>
      </c>
      <c r="Q3" s="129" t="n"/>
      <c r="R3" s="129" t="inlineStr">
        <is>
          <t>周年根</t>
        </is>
      </c>
      <c r="S3" s="129" t="n"/>
      <c r="T3" s="129" t="n"/>
      <c r="U3" s="132" t="n"/>
      <c r="V3" s="132" t="n"/>
      <c r="W3" s="132" t="n"/>
      <c r="X3" s="132" t="n"/>
      <c r="Y3" s="132" t="n"/>
      <c r="Z3" s="132" t="n"/>
      <c r="AA3" s="132" t="n"/>
      <c r="AB3" s="132" t="n"/>
      <c r="AC3" s="132" t="n"/>
      <c r="AD3" s="132" t="n"/>
      <c r="AE3" s="132" t="n"/>
      <c r="AF3" s="132" t="n"/>
      <c r="AG3" s="132" t="n"/>
      <c r="AH3" s="132" t="n"/>
      <c r="AI3" s="132" t="n"/>
      <c r="AJ3" s="132" t="n"/>
      <c r="AK3" s="132" t="n"/>
      <c r="AL3" s="132" t="n"/>
      <c r="AM3" s="132" t="n"/>
      <c r="AN3" s="132" t="n"/>
      <c r="AO3" s="132" t="n"/>
    </row>
    <row r="4" outlineLevel="1" ht="20" customHeight="1" s="2">
      <c r="A4" s="24" t="n"/>
      <c r="B4" s="17" t="n">
        <v>1.1</v>
      </c>
      <c r="C4" s="17" t="n"/>
      <c r="D4" s="133" t="inlineStr">
        <is>
          <t>内部启动</t>
        </is>
      </c>
      <c r="E4" s="22" t="n"/>
      <c r="F4" s="22" t="n"/>
      <c r="G4" s="20">
        <f>项目准备WBS!S3</f>
        <v/>
      </c>
      <c r="H4" s="19" t="n"/>
      <c r="I4" s="19" t="n"/>
      <c r="J4" s="20" t="n"/>
      <c r="K4" s="20" t="n"/>
      <c r="L4" s="20" t="n"/>
      <c r="M4" s="70" t="inlineStr">
        <is>
          <t>W0</t>
        </is>
      </c>
      <c r="N4" s="134">
        <f>N3</f>
        <v/>
      </c>
      <c r="O4" s="134">
        <f>_xlfn.WORKDAY.INTL(N4,P4-1,1,法定节假日!$B$2:$B$67)</f>
        <v/>
      </c>
      <c r="P4" s="20" t="n">
        <v>2</v>
      </c>
      <c r="Q4" s="20" t="n"/>
      <c r="R4" s="19" t="inlineStr">
        <is>
          <t>陈本鸿</t>
        </is>
      </c>
      <c r="S4" s="19" t="n"/>
      <c r="T4" s="19" t="n"/>
      <c r="U4" s="135" t="n"/>
      <c r="V4" s="135" t="n"/>
      <c r="W4" s="135" t="n"/>
      <c r="X4" s="135" t="n"/>
      <c r="Y4" s="135" t="n"/>
      <c r="Z4" s="135" t="n"/>
      <c r="AA4" s="135" t="n"/>
      <c r="AB4" s="135" t="n"/>
      <c r="AC4" s="135" t="n"/>
      <c r="AD4" s="135" t="n"/>
      <c r="AE4" s="135" t="n"/>
      <c r="AF4" s="135" t="n"/>
      <c r="AG4" s="135" t="n"/>
      <c r="AH4" s="135" t="n"/>
      <c r="AI4" s="135" t="n"/>
      <c r="AJ4" s="135" t="n"/>
      <c r="AK4" s="135" t="n"/>
      <c r="AL4" s="135" t="n"/>
      <c r="AM4" s="135" t="n"/>
      <c r="AN4" s="135" t="n"/>
      <c r="AO4" s="135" t="n"/>
    </row>
    <row r="5" ht="20" customHeight="1" s="2">
      <c r="A5" s="126" t="inlineStr">
        <is>
          <t>★</t>
        </is>
      </c>
      <c r="B5" s="126" t="n"/>
      <c r="C5" s="126" t="inlineStr">
        <is>
          <t>1.1.1</t>
        </is>
      </c>
      <c r="D5" s="129" t="inlineStr">
        <is>
          <t>内部启动准备</t>
        </is>
      </c>
      <c r="E5" s="127" t="n"/>
      <c r="F5" s="127" t="n"/>
      <c r="G5" s="128">
        <f>项目准备WBS!S4</f>
        <v/>
      </c>
      <c r="H5" s="129" t="n"/>
      <c r="I5" s="129" t="n"/>
      <c r="J5" s="128" t="inlineStr">
        <is>
          <t>√</t>
        </is>
      </c>
      <c r="K5" s="128" t="n"/>
      <c r="L5" s="128" t="n"/>
      <c r="M5" s="130" t="inlineStr">
        <is>
          <t>W0</t>
        </is>
      </c>
      <c r="N5" s="131">
        <f>N4</f>
        <v/>
      </c>
      <c r="O5" s="131">
        <f>_xlfn.WORKDAY.INTL(N5,P5-1,1,法定节假日!$B$2:$B$67)</f>
        <v/>
      </c>
      <c r="P5" s="128" t="n">
        <v>1</v>
      </c>
      <c r="Q5" s="128" t="n"/>
      <c r="R5" s="129" t="inlineStr">
        <is>
          <t>陈本鸿</t>
        </is>
      </c>
      <c r="S5" s="129" t="n"/>
      <c r="T5" s="129" t="n"/>
      <c r="U5" s="135" t="n"/>
      <c r="V5" s="135" t="n"/>
      <c r="W5" s="135" t="n"/>
      <c r="X5" s="135" t="n"/>
      <c r="Y5" s="135" t="n"/>
      <c r="Z5" s="135" t="n"/>
      <c r="AA5" s="135" t="n"/>
      <c r="AB5" s="135" t="n"/>
      <c r="AC5" s="135" t="n"/>
      <c r="AD5" s="135" t="n"/>
      <c r="AE5" s="135" t="n"/>
      <c r="AF5" s="135" t="n"/>
      <c r="AG5" s="135" t="n"/>
      <c r="AH5" s="135" t="n"/>
      <c r="AI5" s="135" t="n"/>
      <c r="AJ5" s="135" t="n"/>
      <c r="AK5" s="135" t="n"/>
      <c r="AL5" s="135" t="n"/>
      <c r="AM5" s="135" t="n"/>
      <c r="AN5" s="135" t="n"/>
      <c r="AO5" s="135" t="n"/>
    </row>
    <row r="6" ht="20" customHeight="1" s="2">
      <c r="A6" s="126" t="inlineStr">
        <is>
          <t>★</t>
        </is>
      </c>
      <c r="B6" s="126" t="n"/>
      <c r="C6" s="126" t="inlineStr">
        <is>
          <t>1.1.2</t>
        </is>
      </c>
      <c r="D6" s="136" t="inlineStr">
        <is>
          <t>内部启动会</t>
        </is>
      </c>
      <c r="E6" s="127" t="n"/>
      <c r="F6" s="127" t="n"/>
      <c r="G6" s="128">
        <f>项目准备WBS!S11</f>
        <v/>
      </c>
      <c r="H6" s="129" t="n"/>
      <c r="I6" s="129" t="n"/>
      <c r="J6" s="128" t="inlineStr">
        <is>
          <t>√</t>
        </is>
      </c>
      <c r="K6" s="128" t="n"/>
      <c r="L6" s="128" t="inlineStr">
        <is>
          <t>√</t>
        </is>
      </c>
      <c r="M6" s="130" t="inlineStr">
        <is>
          <t>W0</t>
        </is>
      </c>
      <c r="N6" s="131" t="n">
        <v>46259</v>
      </c>
      <c r="O6" s="137">
        <f>_xlfn.WORKDAY.INTL(N6,P6-1,1,法定节假日!$B$2:$B$67)</f>
        <v/>
      </c>
      <c r="P6" s="128" t="n">
        <v>1</v>
      </c>
      <c r="Q6" s="128" t="inlineStr">
        <is>
          <t>是</t>
        </is>
      </c>
      <c r="R6" s="129" t="inlineStr">
        <is>
          <t>陈本鸿</t>
        </is>
      </c>
      <c r="S6" s="129" t="n"/>
      <c r="T6" s="129" t="n"/>
      <c r="U6" s="135" t="n"/>
      <c r="V6" s="135" t="n"/>
      <c r="W6" s="135" t="n"/>
      <c r="X6" s="135" t="n"/>
      <c r="Y6" s="135" t="n"/>
      <c r="Z6" s="135" t="n"/>
      <c r="AA6" s="135" t="n"/>
      <c r="AB6" s="135" t="n"/>
      <c r="AC6" s="135" t="n"/>
      <c r="AD6" s="135" t="n"/>
      <c r="AE6" s="135" t="n"/>
      <c r="AF6" s="135" t="n"/>
      <c r="AG6" s="135" t="n"/>
      <c r="AH6" s="135" t="n"/>
      <c r="AI6" s="135" t="n"/>
      <c r="AJ6" s="135" t="n"/>
      <c r="AK6" s="135" t="n"/>
      <c r="AL6" s="135" t="n"/>
      <c r="AM6" s="135" t="n"/>
      <c r="AN6" s="135" t="n"/>
      <c r="AO6" s="135" t="n"/>
    </row>
    <row r="7" outlineLevel="1" ht="20" customHeight="1" s="2">
      <c r="A7" s="24" t="n"/>
      <c r="B7" s="17" t="n">
        <v>1.2</v>
      </c>
      <c r="C7" s="17" t="n"/>
      <c r="D7" s="133" t="inlineStr">
        <is>
          <t>技术准备</t>
        </is>
      </c>
      <c r="E7" s="22" t="n"/>
      <c r="F7" s="22" t="n"/>
      <c r="G7" s="20">
        <f>项目准备WBS!S14</f>
        <v/>
      </c>
      <c r="H7" s="19" t="n"/>
      <c r="I7" s="19" t="n"/>
      <c r="J7" s="20" t="n"/>
      <c r="K7" s="20" t="n"/>
      <c r="L7" s="20" t="n"/>
      <c r="M7" s="42" t="inlineStr">
        <is>
          <t>W0</t>
        </is>
      </c>
      <c r="N7" s="134" t="n">
        <v>46260</v>
      </c>
      <c r="O7" s="134">
        <f>_xlfn.WORKDAY.INTL(N7,P7-1,1,法定节假日!$B$2:$B$67)</f>
        <v/>
      </c>
      <c r="P7" s="20" t="n">
        <v>3</v>
      </c>
      <c r="Q7" s="22" t="inlineStr">
        <is>
          <t>是</t>
        </is>
      </c>
      <c r="R7" s="19" t="inlineStr">
        <is>
          <t>陈本鸿</t>
        </is>
      </c>
      <c r="S7" s="19" t="n"/>
      <c r="T7" s="19" t="n"/>
      <c r="U7" s="135" t="n"/>
      <c r="V7" s="135" t="n"/>
      <c r="W7" s="135" t="n"/>
      <c r="X7" s="135" t="n"/>
      <c r="Y7" s="135" t="n"/>
      <c r="Z7" s="135" t="n"/>
      <c r="AA7" s="135" t="n"/>
      <c r="AB7" s="135" t="n"/>
      <c r="AC7" s="135" t="n"/>
      <c r="AD7" s="135" t="n"/>
      <c r="AE7" s="135" t="n"/>
      <c r="AF7" s="135" t="n"/>
      <c r="AG7" s="135" t="n"/>
      <c r="AH7" s="135" t="n"/>
      <c r="AI7" s="135" t="n"/>
      <c r="AJ7" s="135" t="n"/>
      <c r="AK7" s="135" t="n"/>
      <c r="AL7" s="135" t="n"/>
      <c r="AM7" s="135" t="n"/>
      <c r="AN7" s="135" t="n"/>
      <c r="AO7" s="135" t="n"/>
    </row>
    <row r="8" ht="20" customHeight="1" s="2">
      <c r="A8" s="126" t="inlineStr">
        <is>
          <t>★</t>
        </is>
      </c>
      <c r="B8" s="126" t="n"/>
      <c r="C8" s="126" t="inlineStr">
        <is>
          <t>1.2.1</t>
        </is>
      </c>
      <c r="D8" s="136" t="inlineStr">
        <is>
          <t>用户业务流程获取</t>
        </is>
      </c>
      <c r="E8" s="127" t="n"/>
      <c r="F8" s="127" t="n"/>
      <c r="G8" s="128">
        <f>项目准备WBS!S15</f>
        <v/>
      </c>
      <c r="H8" s="129" t="n"/>
      <c r="I8" s="129" t="n"/>
      <c r="J8" s="128" t="n"/>
      <c r="K8" s="128" t="n"/>
      <c r="L8" s="128" t="n"/>
      <c r="M8" s="130" t="inlineStr">
        <is>
          <t>W0</t>
        </is>
      </c>
      <c r="N8" s="137">
        <f>N7</f>
        <v/>
      </c>
      <c r="O8" s="131">
        <f>_xlfn.WORKDAY.INTL(N8,P8-1,1,法定节假日!$B$2:$B$67)</f>
        <v/>
      </c>
      <c r="P8" s="128" t="n">
        <v>3</v>
      </c>
      <c r="Q8" s="138" t="n"/>
      <c r="R8" s="129" t="inlineStr">
        <is>
          <t>陈本鸿</t>
        </is>
      </c>
      <c r="S8" s="129" t="n"/>
      <c r="T8" s="129" t="n"/>
      <c r="U8" s="135" t="n"/>
      <c r="V8" s="135" t="n"/>
      <c r="W8" s="135" t="n"/>
      <c r="X8" s="135" t="n"/>
      <c r="Y8" s="135" t="n"/>
      <c r="Z8" s="135" t="n"/>
      <c r="AA8" s="135" t="n"/>
      <c r="AB8" s="135" t="n"/>
      <c r="AC8" s="135" t="n"/>
      <c r="AD8" s="135" t="n"/>
      <c r="AE8" s="135" t="n"/>
      <c r="AF8" s="135" t="n"/>
      <c r="AG8" s="135" t="n"/>
      <c r="AH8" s="135" t="n"/>
      <c r="AI8" s="135" t="n"/>
      <c r="AJ8" s="135" t="n"/>
      <c r="AK8" s="135" t="n"/>
      <c r="AL8" s="135" t="n"/>
      <c r="AM8" s="135" t="n"/>
      <c r="AN8" s="135" t="n"/>
      <c r="AO8" s="135" t="n"/>
    </row>
    <row r="9" ht="20" customHeight="1" s="2">
      <c r="A9" s="126" t="inlineStr">
        <is>
          <t>★</t>
        </is>
      </c>
      <c r="B9" s="126" t="n"/>
      <c r="C9" s="126" t="inlineStr">
        <is>
          <t>1.2.2</t>
        </is>
      </c>
      <c r="D9" s="136" t="inlineStr">
        <is>
          <t>交付物V0.1准备</t>
        </is>
      </c>
      <c r="E9" s="127" t="n"/>
      <c r="F9" s="127" t="n"/>
      <c r="G9" s="128">
        <f>项目准备WBS!S17</f>
        <v/>
      </c>
      <c r="H9" s="129" t="n"/>
      <c r="I9" s="129" t="n"/>
      <c r="J9" s="128" t="inlineStr">
        <is>
          <t>√</t>
        </is>
      </c>
      <c r="K9" s="128" t="n"/>
      <c r="L9" s="128" t="inlineStr">
        <is>
          <t>√</t>
        </is>
      </c>
      <c r="M9" s="130" t="inlineStr">
        <is>
          <t>W0</t>
        </is>
      </c>
      <c r="N9" s="137">
        <f>N8</f>
        <v/>
      </c>
      <c r="O9" s="137">
        <f>_xlfn.WORKDAY.INTL(N9,P9-1,1,法定节假日!$B$2:$B$67)</f>
        <v/>
      </c>
      <c r="P9" s="128" t="n">
        <v>3</v>
      </c>
      <c r="Q9" s="138" t="n"/>
      <c r="R9" s="129" t="inlineStr">
        <is>
          <t>陈本鸿</t>
        </is>
      </c>
      <c r="S9" s="129" t="n"/>
      <c r="T9" s="129" t="inlineStr">
        <is>
          <t>《交付物V0.1》</t>
        </is>
      </c>
      <c r="U9" s="135" t="n"/>
      <c r="V9" s="135" t="n"/>
      <c r="W9" s="135" t="n"/>
      <c r="X9" s="135" t="n"/>
      <c r="Y9" s="135" t="n"/>
      <c r="Z9" s="135" t="n"/>
      <c r="AA9" s="135" t="n"/>
      <c r="AB9" s="135" t="n"/>
      <c r="AC9" s="135" t="n"/>
      <c r="AD9" s="135" t="n"/>
      <c r="AE9" s="135" t="n"/>
      <c r="AF9" s="135" t="n"/>
      <c r="AG9" s="135" t="n"/>
      <c r="AH9" s="135" t="n"/>
      <c r="AI9" s="135" t="n"/>
      <c r="AJ9" s="135" t="n"/>
      <c r="AK9" s="135" t="n"/>
      <c r="AL9" s="135" t="n"/>
      <c r="AM9" s="135" t="n"/>
      <c r="AN9" s="135" t="n"/>
      <c r="AO9" s="135" t="n"/>
    </row>
    <row r="10" ht="20" customHeight="1" s="2">
      <c r="A10" s="126" t="inlineStr">
        <is>
          <t>★</t>
        </is>
      </c>
      <c r="B10" s="126" t="n"/>
      <c r="C10" s="126" t="inlineStr">
        <is>
          <t>1.2.3</t>
        </is>
      </c>
      <c r="D10" s="136" t="inlineStr">
        <is>
          <t>调研问卷准备</t>
        </is>
      </c>
      <c r="E10" s="127" t="n"/>
      <c r="F10" s="127" t="n"/>
      <c r="G10" s="128">
        <f>项目准备WBS!S20</f>
        <v/>
      </c>
      <c r="H10" s="129" t="n"/>
      <c r="I10" s="129" t="n"/>
      <c r="J10" s="128" t="inlineStr">
        <is>
          <t>√</t>
        </is>
      </c>
      <c r="K10" s="128" t="n"/>
      <c r="L10" s="128" t="inlineStr">
        <is>
          <t>√</t>
        </is>
      </c>
      <c r="M10" s="130" t="inlineStr">
        <is>
          <t>W0</t>
        </is>
      </c>
      <c r="N10" s="137">
        <f>N9</f>
        <v/>
      </c>
      <c r="O10" s="131">
        <f>_xlfn.WORKDAY.INTL(N10,P10-1,1,法定节假日!$B$2:$B$67)</f>
        <v/>
      </c>
      <c r="P10" s="128" t="n">
        <v>3</v>
      </c>
      <c r="Q10" s="138" t="n"/>
      <c r="R10" s="129" t="inlineStr">
        <is>
          <t>陈本鸿</t>
        </is>
      </c>
      <c r="S10" s="129" t="n"/>
      <c r="T10" s="129" t="inlineStr">
        <is>
          <t>《调研问卷》</t>
        </is>
      </c>
      <c r="U10" s="135" t="n"/>
      <c r="V10" s="135" t="n"/>
      <c r="W10" s="135" t="n"/>
      <c r="X10" s="135" t="n"/>
      <c r="Y10" s="135" t="n"/>
      <c r="Z10" s="135" t="n"/>
      <c r="AA10" s="135" t="n"/>
      <c r="AB10" s="135" t="n"/>
      <c r="AC10" s="135" t="n"/>
      <c r="AD10" s="135" t="n"/>
      <c r="AE10" s="135" t="n"/>
      <c r="AF10" s="135" t="n"/>
      <c r="AG10" s="135" t="n"/>
      <c r="AH10" s="135" t="n"/>
      <c r="AI10" s="135" t="n"/>
      <c r="AJ10" s="135" t="n"/>
      <c r="AK10" s="135" t="n"/>
      <c r="AL10" s="135" t="n"/>
      <c r="AM10" s="135" t="n"/>
      <c r="AN10" s="135" t="n"/>
      <c r="AO10" s="135" t="n"/>
    </row>
    <row r="11" outlineLevel="1" ht="20" customHeight="1" s="2">
      <c r="A11" s="24" t="n"/>
      <c r="B11" s="17" t="n">
        <v>1.3</v>
      </c>
      <c r="C11" s="17" t="n"/>
      <c r="D11" s="133" t="inlineStr">
        <is>
          <t>项目启动</t>
        </is>
      </c>
      <c r="E11" s="22" t="n"/>
      <c r="F11" s="22" t="n"/>
      <c r="G11" s="20">
        <f>项目准备WBS!S23</f>
        <v/>
      </c>
      <c r="H11" s="19" t="n"/>
      <c r="I11" s="19" t="n"/>
      <c r="J11" s="20" t="n"/>
      <c r="K11" s="20" t="n"/>
      <c r="L11" s="20" t="n"/>
      <c r="M11" s="42" t="inlineStr">
        <is>
          <t>W1</t>
        </is>
      </c>
      <c r="N11" s="134" t="n">
        <v>46265</v>
      </c>
      <c r="O11" s="134">
        <f>_xlfn.WORKDAY.INTL(N11,P11-1,1,法定节假日!$B$2:$B$67)</f>
        <v/>
      </c>
      <c r="P11" s="20" t="n">
        <v>5</v>
      </c>
      <c r="Q11" s="22" t="inlineStr">
        <is>
          <t>是</t>
        </is>
      </c>
      <c r="R11" s="19" t="inlineStr">
        <is>
          <t>周年根</t>
        </is>
      </c>
      <c r="S11" s="19" t="n"/>
      <c r="T11" s="19" t="n"/>
      <c r="U11" s="135" t="n"/>
      <c r="V11" s="135" t="n"/>
      <c r="W11" s="135" t="n"/>
      <c r="X11" s="135" t="n"/>
      <c r="Y11" s="135" t="n"/>
      <c r="Z11" s="135" t="n"/>
      <c r="AA11" s="135" t="n"/>
      <c r="AB11" s="135" t="n"/>
      <c r="AC11" s="135" t="n"/>
      <c r="AD11" s="135" t="n"/>
      <c r="AE11" s="135" t="n"/>
      <c r="AF11" s="135" t="n"/>
      <c r="AG11" s="135" t="n"/>
      <c r="AH11" s="135" t="n"/>
      <c r="AI11" s="135" t="n"/>
      <c r="AJ11" s="135" t="n"/>
      <c r="AK11" s="135" t="n"/>
      <c r="AL11" s="135" t="n"/>
      <c r="AM11" s="135" t="n"/>
      <c r="AN11" s="135" t="n"/>
      <c r="AO11" s="135" t="n"/>
    </row>
    <row r="12" ht="20" customHeight="1" s="2">
      <c r="A12" s="126" t="inlineStr">
        <is>
          <t>★</t>
        </is>
      </c>
      <c r="B12" s="126" t="n"/>
      <c r="C12" s="126" t="inlineStr">
        <is>
          <t>1.3.1</t>
        </is>
      </c>
      <c r="D12" s="136" t="inlineStr">
        <is>
          <t>组建客户团队</t>
        </is>
      </c>
      <c r="E12" s="127" t="n"/>
      <c r="F12" s="127" t="n"/>
      <c r="G12" s="128">
        <f>项目准备WBS!S24</f>
        <v/>
      </c>
      <c r="H12" s="129" t="n"/>
      <c r="I12" s="129" t="n"/>
      <c r="J12" s="128" t="n"/>
      <c r="K12" s="128" t="inlineStr">
        <is>
          <t>√</t>
        </is>
      </c>
      <c r="L12" s="128" t="n"/>
      <c r="M12" s="130" t="inlineStr">
        <is>
          <t>W1</t>
        </is>
      </c>
      <c r="N12" s="131">
        <f>N11</f>
        <v/>
      </c>
      <c r="O12" s="131">
        <f>_xlfn.WORKDAY.INTL(N12,P12-1,1,法定节假日!$B$2:$B$67)</f>
        <v/>
      </c>
      <c r="P12" s="128" t="n">
        <v>2</v>
      </c>
      <c r="Q12" s="128" t="n"/>
      <c r="R12" s="129" t="inlineStr">
        <is>
          <t>陈本鸿</t>
        </is>
      </c>
      <c r="S12" s="129" t="n"/>
      <c r="T12" s="129" t="inlineStr">
        <is>
          <t>《项目章程》</t>
        </is>
      </c>
      <c r="U12" s="135" t="n"/>
      <c r="V12" s="135" t="n"/>
      <c r="W12" s="135" t="n"/>
      <c r="X12" s="135" t="n"/>
      <c r="Y12" s="135" t="n"/>
      <c r="Z12" s="135" t="n"/>
      <c r="AA12" s="135" t="n"/>
      <c r="AB12" s="135" t="n"/>
      <c r="AC12" s="135" t="n"/>
      <c r="AD12" s="135" t="n"/>
      <c r="AE12" s="135" t="n"/>
      <c r="AF12" s="135" t="n"/>
      <c r="AG12" s="135" t="n"/>
      <c r="AH12" s="135" t="n"/>
      <c r="AI12" s="135" t="n"/>
      <c r="AJ12" s="135" t="n"/>
      <c r="AK12" s="135" t="n"/>
      <c r="AL12" s="135" t="n"/>
      <c r="AM12" s="135" t="n"/>
      <c r="AN12" s="135" t="n"/>
      <c r="AO12" s="135" t="n"/>
    </row>
    <row r="13" ht="20" customHeight="1" s="2">
      <c r="A13" s="126" t="inlineStr">
        <is>
          <t>★</t>
        </is>
      </c>
      <c r="B13" s="126" t="n"/>
      <c r="C13" s="126" t="inlineStr">
        <is>
          <t>1.3.2</t>
        </is>
      </c>
      <c r="D13" s="136" t="inlineStr">
        <is>
          <t>客户方准备办公环境</t>
        </is>
      </c>
      <c r="E13" s="127" t="n"/>
      <c r="F13" s="127" t="n"/>
      <c r="G13" s="128">
        <f>项目准备WBS!S26</f>
        <v/>
      </c>
      <c r="H13" s="129" t="n"/>
      <c r="I13" s="129" t="n"/>
      <c r="J13" s="128" t="n"/>
      <c r="K13" s="128" t="n"/>
      <c r="L13" s="128" t="n"/>
      <c r="M13" s="130" t="inlineStr">
        <is>
          <t>W1</t>
        </is>
      </c>
      <c r="N13" s="137">
        <f>N12</f>
        <v/>
      </c>
      <c r="O13" s="137">
        <f>_xlfn.WORKDAY.INTL(N13,P13-1,1,法定节假日!$B$2:$B$67)</f>
        <v/>
      </c>
      <c r="P13" s="128" t="n">
        <v>2</v>
      </c>
      <c r="Q13" s="138" t="n"/>
      <c r="R13" s="129" t="inlineStr">
        <is>
          <t>陈本鸿</t>
        </is>
      </c>
      <c r="S13" s="129" t="n"/>
      <c r="T13" s="129" t="n"/>
      <c r="U13" s="135" t="n"/>
      <c r="V13" s="135" t="n"/>
      <c r="W13" s="135" t="n"/>
      <c r="X13" s="135" t="n"/>
      <c r="Y13" s="135" t="n"/>
      <c r="Z13" s="135" t="n"/>
      <c r="AA13" s="135" t="n"/>
      <c r="AB13" s="135" t="n"/>
      <c r="AC13" s="135" t="n"/>
      <c r="AD13" s="135" t="n"/>
      <c r="AE13" s="135" t="n"/>
      <c r="AF13" s="135" t="n"/>
      <c r="AG13" s="135" t="n"/>
      <c r="AH13" s="135" t="n"/>
      <c r="AI13" s="135" t="n"/>
      <c r="AJ13" s="135" t="n"/>
      <c r="AK13" s="135" t="n"/>
      <c r="AL13" s="135" t="n"/>
      <c r="AM13" s="135" t="n"/>
      <c r="AN13" s="135" t="n"/>
      <c r="AO13" s="135" t="n"/>
    </row>
    <row r="14" ht="20" customHeight="1" s="2">
      <c r="A14" s="126" t="inlineStr">
        <is>
          <t>★</t>
        </is>
      </c>
      <c r="B14" s="126" t="n"/>
      <c r="C14" s="126" t="inlineStr">
        <is>
          <t>1.3.3</t>
        </is>
      </c>
      <c r="D14" s="136" t="inlineStr">
        <is>
          <t>项目管理规划</t>
        </is>
      </c>
      <c r="E14" s="127" t="n"/>
      <c r="F14" s="127" t="n"/>
      <c r="G14" s="128">
        <f>项目准备WBS!S28</f>
        <v/>
      </c>
      <c r="H14" s="129" t="n"/>
      <c r="I14" s="129" t="n"/>
      <c r="J14" s="128" t="n"/>
      <c r="K14" s="128" t="inlineStr">
        <is>
          <t>√</t>
        </is>
      </c>
      <c r="L14" s="128" t="inlineStr">
        <is>
          <t>√</t>
        </is>
      </c>
      <c r="M14" s="130" t="inlineStr">
        <is>
          <t>W1</t>
        </is>
      </c>
      <c r="N14" s="131" t="n">
        <v>46267</v>
      </c>
      <c r="O14" s="131">
        <f>_xlfn.WORKDAY.INTL(N14,P14-1,1,法定节假日!$B$2:$B$67)</f>
        <v/>
      </c>
      <c r="P14" s="128" t="n">
        <v>3</v>
      </c>
      <c r="Q14" s="128" t="n"/>
      <c r="R14" s="129" t="inlineStr">
        <is>
          <t>陈本鸿</t>
        </is>
      </c>
      <c r="S14" s="129" t="n"/>
      <c r="T14" s="129" t="inlineStr">
        <is>
          <t>《项目管理方案》什么东西？谁提供</t>
        </is>
      </c>
      <c r="U14" s="135" t="n"/>
      <c r="V14" s="135" t="n"/>
      <c r="W14" s="135" t="n"/>
      <c r="X14" s="135" t="n"/>
      <c r="Y14" s="135" t="n"/>
      <c r="Z14" s="135" t="n"/>
      <c r="AA14" s="135" t="n"/>
      <c r="AB14" s="135" t="n"/>
      <c r="AC14" s="135" t="n"/>
      <c r="AD14" s="135" t="n"/>
      <c r="AE14" s="135" t="n"/>
      <c r="AF14" s="135" t="n"/>
      <c r="AG14" s="135" t="n"/>
      <c r="AH14" s="135" t="n"/>
      <c r="AI14" s="135" t="n"/>
      <c r="AJ14" s="135" t="n"/>
      <c r="AK14" s="135" t="n"/>
      <c r="AL14" s="135" t="n"/>
      <c r="AM14" s="135" t="n"/>
      <c r="AN14" s="135" t="n"/>
      <c r="AO14" s="135" t="n"/>
    </row>
    <row r="15" ht="20" customHeight="1" s="2">
      <c r="A15" s="126" t="inlineStr">
        <is>
          <t>★</t>
        </is>
      </c>
      <c r="B15" s="126" t="n"/>
      <c r="C15" s="126" t="inlineStr">
        <is>
          <t>1.3.4</t>
        </is>
      </c>
      <c r="D15" s="136" t="inlineStr">
        <is>
          <t>召开启动会</t>
        </is>
      </c>
      <c r="E15" s="127" t="n"/>
      <c r="F15" s="127" t="n"/>
      <c r="G15" s="128">
        <f>项目准备WBS!S30</f>
        <v/>
      </c>
      <c r="H15" s="129" t="n"/>
      <c r="I15" s="128" t="inlineStr">
        <is>
          <t>√</t>
        </is>
      </c>
      <c r="J15" s="128" t="inlineStr">
        <is>
          <t>√</t>
        </is>
      </c>
      <c r="K15" s="128" t="inlineStr">
        <is>
          <t>√</t>
        </is>
      </c>
      <c r="L15" s="128" t="inlineStr">
        <is>
          <t>√</t>
        </is>
      </c>
      <c r="M15" s="130" t="inlineStr">
        <is>
          <t>W1</t>
        </is>
      </c>
      <c r="N15" s="131" t="n">
        <v>46267</v>
      </c>
      <c r="O15" s="131">
        <f>_xlfn.WORKDAY.INTL(N15,P15-1,1,法定节假日!$B$2:$B$67)</f>
        <v/>
      </c>
      <c r="P15" s="128" t="n">
        <v>3</v>
      </c>
      <c r="Q15" s="128" t="n"/>
      <c r="R15" s="129" t="inlineStr">
        <is>
          <t>周年根</t>
        </is>
      </c>
      <c r="S15" s="129" t="n"/>
      <c r="T15" s="129" t="inlineStr">
        <is>
          <t>《项目启动会PPT》</t>
        </is>
      </c>
      <c r="U15" s="135" t="n"/>
      <c r="V15" s="135" t="n"/>
      <c r="W15" s="135" t="n"/>
      <c r="X15" s="135" t="n"/>
      <c r="Y15" s="135" t="n"/>
      <c r="Z15" s="135" t="n"/>
      <c r="AA15" s="135" t="n"/>
      <c r="AB15" s="135" t="n"/>
      <c r="AC15" s="135" t="n"/>
      <c r="AD15" s="135" t="n"/>
      <c r="AE15" s="135" t="n"/>
      <c r="AF15" s="135" t="n"/>
      <c r="AG15" s="135" t="n"/>
      <c r="AH15" s="135" t="n"/>
      <c r="AI15" s="135" t="n"/>
      <c r="AJ15" s="135" t="n"/>
      <c r="AK15" s="135" t="n"/>
      <c r="AL15" s="135" t="n"/>
      <c r="AM15" s="135" t="n"/>
      <c r="AN15" s="135" t="n"/>
      <c r="AO15" s="135" t="n"/>
    </row>
    <row r="16" ht="20" customFormat="1" customHeight="1" s="59">
      <c r="A16" s="126" t="n">
        <v>2</v>
      </c>
      <c r="B16" s="126" t="n"/>
      <c r="C16" s="126" t="n"/>
      <c r="D16" s="126" t="inlineStr">
        <is>
          <t>需求分析</t>
        </is>
      </c>
      <c r="E16" s="127" t="n"/>
      <c r="F16" s="127" t="n"/>
      <c r="G16" s="128">
        <f>IF(COUNTIF(G17:G43,"未完成")=COUNTA(G17:G43),"未完成",IF(COUNTIF(G17:G43,"已完成")=COUNTA(G17:G43),"已完成","进行中"))</f>
        <v/>
      </c>
      <c r="H16" s="129" t="n"/>
      <c r="I16" s="129" t="n"/>
      <c r="J16" s="128" t="n"/>
      <c r="K16" s="128" t="n"/>
      <c r="L16" s="128" t="n"/>
      <c r="M16" s="130" t="inlineStr">
        <is>
          <t>W1-W26</t>
        </is>
      </c>
      <c r="N16" s="131" t="n">
        <v>46266</v>
      </c>
      <c r="O16" s="131">
        <f>_xlfn.WORKDAY.INTL(N16,P16-1,1,法定节假日!$B$2:$B$67)</f>
        <v/>
      </c>
      <c r="P16" s="128" t="n">
        <v>113</v>
      </c>
      <c r="Q16" s="128" t="n"/>
      <c r="R16" s="129" t="inlineStr">
        <is>
          <t>周年根</t>
        </is>
      </c>
      <c r="S16" s="129" t="n"/>
      <c r="T16" s="129" t="n"/>
      <c r="U16" s="132" t="n"/>
      <c r="V16" s="132" t="n"/>
      <c r="W16" s="132" t="n"/>
      <c r="X16" s="132" t="n"/>
      <c r="Y16" s="132" t="n"/>
      <c r="Z16" s="132" t="n"/>
      <c r="AA16" s="132" t="n"/>
      <c r="AB16" s="132" t="n"/>
      <c r="AC16" s="132" t="n"/>
      <c r="AD16" s="132" t="n"/>
      <c r="AE16" s="132" t="n"/>
      <c r="AF16" s="132" t="n"/>
      <c r="AG16" s="132" t="n"/>
      <c r="AH16" s="132" t="n"/>
      <c r="AI16" s="132" t="n"/>
      <c r="AJ16" s="132" t="n"/>
      <c r="AK16" s="132" t="n"/>
      <c r="AL16" s="132" t="n"/>
      <c r="AM16" s="132" t="n"/>
      <c r="AN16" s="132" t="n"/>
      <c r="AO16" s="132" t="n"/>
    </row>
    <row r="17" outlineLevel="1" ht="20" customHeight="1" s="2">
      <c r="A17" s="24" t="n"/>
      <c r="B17" s="17" t="n">
        <v>2.1</v>
      </c>
      <c r="C17" s="17" t="n"/>
      <c r="D17" s="139" t="inlineStr">
        <is>
          <t>业务调研与分析</t>
        </is>
      </c>
      <c r="E17" s="22" t="n"/>
      <c r="F17" s="22" t="n"/>
      <c r="G17" s="20">
        <f>需求分析WBS!S3</f>
        <v/>
      </c>
      <c r="H17" s="19" t="n"/>
      <c r="I17" s="19" t="n"/>
      <c r="J17" s="20" t="n"/>
      <c r="K17" s="20" t="n"/>
      <c r="L17" s="20" t="n"/>
      <c r="M17" s="42" t="inlineStr">
        <is>
          <t>W1-W13</t>
        </is>
      </c>
      <c r="N17" s="134">
        <f>N16</f>
        <v/>
      </c>
      <c r="O17" s="134">
        <f>_xlfn.WORKDAY.INTL(N17,P17-1,1,法定节假日!$B$2:$B$67)</f>
        <v/>
      </c>
      <c r="P17" s="20" t="n">
        <v>59</v>
      </c>
      <c r="Q17" s="20" t="n"/>
      <c r="R17" s="19" t="inlineStr">
        <is>
          <t>陈本鸿</t>
        </is>
      </c>
      <c r="S17" s="19" t="n"/>
      <c r="T17" s="19" t="n"/>
      <c r="U17" s="135" t="n"/>
      <c r="V17" s="135" t="n"/>
      <c r="W17" s="135" t="n"/>
      <c r="X17" s="135" t="n"/>
      <c r="Y17" s="135" t="n"/>
      <c r="Z17" s="135" t="n"/>
      <c r="AA17" s="135" t="n"/>
      <c r="AB17" s="135" t="n"/>
      <c r="AC17" s="135" t="n"/>
      <c r="AD17" s="135" t="n"/>
      <c r="AE17" s="135" t="n"/>
      <c r="AF17" s="135" t="n"/>
      <c r="AG17" s="135" t="n"/>
      <c r="AH17" s="135" t="n"/>
      <c r="AI17" s="135" t="n"/>
      <c r="AJ17" s="135" t="n"/>
      <c r="AK17" s="135" t="n"/>
      <c r="AL17" s="135" t="n"/>
      <c r="AM17" s="135" t="n"/>
      <c r="AN17" s="135" t="n"/>
      <c r="AO17" s="135" t="n"/>
    </row>
    <row r="18" ht="20" customHeight="1" s="2">
      <c r="A18" s="126" t="inlineStr">
        <is>
          <t>★</t>
        </is>
      </c>
      <c r="B18" s="126" t="n"/>
      <c r="C18" s="126" t="inlineStr">
        <is>
          <t>2.1.1</t>
        </is>
      </c>
      <c r="D18" s="136" t="inlineStr">
        <is>
          <t>调研资料准备</t>
        </is>
      </c>
      <c r="E18" s="127" t="n"/>
      <c r="F18" s="127" t="inlineStr">
        <is>
          <t>1.2.3</t>
        </is>
      </c>
      <c r="G18" s="128">
        <f>需求分析WBS!S4</f>
        <v/>
      </c>
      <c r="H18" s="129" t="n"/>
      <c r="I18" s="129" t="n"/>
      <c r="J18" s="128" t="n"/>
      <c r="K18" s="128" t="n"/>
      <c r="L18" s="128" t="n"/>
      <c r="M18" s="130" t="inlineStr">
        <is>
          <t>W1-W2</t>
        </is>
      </c>
      <c r="N18" s="131">
        <f>N17</f>
        <v/>
      </c>
      <c r="O18" s="131">
        <f>_xlfn.WORKDAY.INTL(N18,P18-1,1,法定节假日!$B$2:$B$67)</f>
        <v/>
      </c>
      <c r="P18" s="128" t="n">
        <v>9</v>
      </c>
      <c r="Q18" s="128" t="n"/>
      <c r="R18" s="129" t="inlineStr">
        <is>
          <t>陈本鸿</t>
        </is>
      </c>
      <c r="S18" s="129" t="n"/>
      <c r="T18" s="129" t="n"/>
      <c r="U18" s="135" t="n"/>
      <c r="V18" s="135" t="n"/>
      <c r="W18" s="135" t="n"/>
      <c r="X18" s="135" t="n"/>
      <c r="Y18" s="135" t="n"/>
      <c r="Z18" s="135" t="n"/>
      <c r="AA18" s="135" t="n"/>
      <c r="AB18" s="135" t="n"/>
      <c r="AC18" s="135" t="n"/>
      <c r="AD18" s="135" t="n"/>
      <c r="AE18" s="135" t="n"/>
      <c r="AF18" s="135" t="n"/>
      <c r="AG18" s="135" t="n"/>
      <c r="AH18" s="135" t="n"/>
      <c r="AI18" s="135" t="n"/>
      <c r="AJ18" s="135" t="n"/>
      <c r="AK18" s="135" t="n"/>
      <c r="AL18" s="135" t="n"/>
      <c r="AM18" s="135" t="n"/>
      <c r="AN18" s="135" t="n"/>
      <c r="AO18" s="135" t="n"/>
    </row>
    <row r="19" ht="20" customHeight="1" s="2">
      <c r="A19" s="126" t="inlineStr">
        <is>
          <t>★</t>
        </is>
      </c>
      <c r="B19" s="126" t="n"/>
      <c r="C19" s="126" t="inlineStr">
        <is>
          <t>2.1.2</t>
        </is>
      </c>
      <c r="D19" s="136" t="inlineStr">
        <is>
          <t>DP模块-业务调研与模拟分析</t>
        </is>
      </c>
      <c r="E19" s="127" t="n"/>
      <c r="F19" s="127" t="inlineStr">
        <is>
          <t>1.2.1</t>
        </is>
      </c>
      <c r="G19" s="128">
        <f>需求分析WBS!S7</f>
        <v/>
      </c>
      <c r="H19" s="129" t="n"/>
      <c r="I19" s="129" t="n"/>
      <c r="J19" s="128" t="n"/>
      <c r="K19" s="128" t="n"/>
      <c r="L19" s="128" t="n"/>
      <c r="M19" s="130" t="inlineStr">
        <is>
          <t>W1-W5</t>
        </is>
      </c>
      <c r="N19" s="131">
        <f>N17</f>
        <v/>
      </c>
      <c r="O19" s="131">
        <f>_xlfn.WORKDAY.INTL(N19,P19-1,1,法定节假日!$B$2:$B$67)</f>
        <v/>
      </c>
      <c r="P19" s="128" t="n">
        <v>21</v>
      </c>
      <c r="Q19" s="128" t="n"/>
      <c r="R19" s="129" t="inlineStr">
        <is>
          <t>文叶</t>
        </is>
      </c>
      <c r="S19" s="129" t="n"/>
      <c r="T19" s="129" t="inlineStr">
        <is>
          <t>《调研纪要》-DP模块</t>
        </is>
      </c>
      <c r="U19" s="135" t="n"/>
      <c r="V19" s="135" t="n"/>
      <c r="W19" s="135" t="n"/>
      <c r="X19" s="135" t="n"/>
      <c r="Y19" s="135" t="n"/>
      <c r="Z19" s="135" t="n"/>
      <c r="AA19" s="135" t="n"/>
      <c r="AB19" s="135" t="n"/>
      <c r="AC19" s="135" t="n"/>
      <c r="AD19" s="135" t="n"/>
      <c r="AE19" s="135" t="n"/>
      <c r="AF19" s="135" t="n"/>
      <c r="AG19" s="135" t="n"/>
      <c r="AH19" s="135" t="n"/>
      <c r="AI19" s="135" t="n"/>
      <c r="AJ19" s="135" t="n"/>
      <c r="AK19" s="135" t="n"/>
      <c r="AL19" s="135" t="n"/>
      <c r="AM19" s="135" t="n"/>
      <c r="AN19" s="135" t="n"/>
      <c r="AO19" s="135" t="n"/>
    </row>
    <row r="20" outlineLevel="2" ht="20" customHeight="1" s="2">
      <c r="A20" s="24" t="n"/>
      <c r="B20" s="24" t="n"/>
      <c r="C20" s="24" t="inlineStr">
        <is>
          <t>2.1.3</t>
        </is>
      </c>
      <c r="D20" s="33" t="inlineStr">
        <is>
          <t>APS模块-业务调研与模拟分析</t>
        </is>
      </c>
      <c r="E20" s="37" t="n"/>
      <c r="F20" s="37" t="n"/>
      <c r="G20" s="34">
        <f>需求分析WBS!S13</f>
        <v/>
      </c>
      <c r="H20" s="23" t="n"/>
      <c r="I20" s="23" t="n"/>
      <c r="J20" s="34" t="n"/>
      <c r="K20" s="34" t="n"/>
      <c r="L20" s="34" t="n"/>
      <c r="M20" s="45" t="inlineStr">
        <is>
          <t>W1-W9</t>
        </is>
      </c>
      <c r="N20" s="140">
        <f>N18</f>
        <v/>
      </c>
      <c r="O20" s="140">
        <f>_xlfn.WORKDAY.INTL(N20,P20-1,1,法定节假日!$B$2:$B$67)</f>
        <v/>
      </c>
      <c r="P20" s="34" t="n">
        <v>38</v>
      </c>
      <c r="Q20" s="34" t="n"/>
      <c r="R20" s="74" t="inlineStr">
        <is>
          <t>AP王旭东、AS林寒欣</t>
        </is>
      </c>
      <c r="S20" s="23" t="n"/>
      <c r="T20" s="23" t="inlineStr">
        <is>
          <t>《调研纪要》-APS模块</t>
        </is>
      </c>
      <c r="U20" s="135" t="n"/>
      <c r="V20" s="135" t="n"/>
      <c r="W20" s="135" t="n"/>
      <c r="X20" s="135" t="n"/>
      <c r="Y20" s="135" t="n"/>
      <c r="Z20" s="135" t="n"/>
      <c r="AA20" s="135" t="n"/>
      <c r="AB20" s="135" t="n"/>
      <c r="AC20" s="135" t="n"/>
      <c r="AD20" s="135" t="n"/>
      <c r="AE20" s="135" t="n"/>
      <c r="AF20" s="135" t="n"/>
      <c r="AG20" s="135" t="n"/>
      <c r="AH20" s="135" t="n"/>
      <c r="AI20" s="135" t="n"/>
      <c r="AJ20" s="135" t="n"/>
      <c r="AK20" s="135" t="n"/>
      <c r="AL20" s="135" t="n"/>
      <c r="AM20" s="135" t="n"/>
      <c r="AN20" s="135" t="n"/>
      <c r="AO20" s="135" t="n"/>
    </row>
    <row r="21" outlineLevel="2" ht="20" customHeight="1" s="2">
      <c r="A21" s="24" t="n"/>
      <c r="B21" s="24" t="n"/>
      <c r="C21" s="24" t="inlineStr">
        <is>
          <t>2.1.4</t>
        </is>
      </c>
      <c r="D21" s="33" t="inlineStr">
        <is>
          <t>IP模块-业务调研与模拟分析</t>
        </is>
      </c>
      <c r="E21" s="37" t="n"/>
      <c r="F21" s="37" t="n"/>
      <c r="G21" s="34">
        <f>需求分析WBS!S19</f>
        <v/>
      </c>
      <c r="H21" s="23" t="n"/>
      <c r="I21" s="23" t="n"/>
      <c r="J21" s="34" t="n"/>
      <c r="K21" s="34" t="n"/>
      <c r="L21" s="34" t="n"/>
      <c r="M21" s="45" t="inlineStr">
        <is>
          <t>W10-W13</t>
        </is>
      </c>
      <c r="N21" s="140" t="n">
        <v>46328</v>
      </c>
      <c r="O21" s="140">
        <f>_xlfn.WORKDAY.INTL(N21,P21-1,1,法定节假日!$B$2:$B$67)</f>
        <v/>
      </c>
      <c r="P21" s="34" t="n">
        <v>21</v>
      </c>
      <c r="Q21" s="34" t="n"/>
      <c r="R21" s="23" t="inlineStr">
        <is>
          <t>宋沛霖</t>
        </is>
      </c>
      <c r="S21" s="23" t="n"/>
      <c r="T21" s="23" t="inlineStr">
        <is>
          <t>《调研纪要》-IP模块</t>
        </is>
      </c>
      <c r="U21" s="135" t="n"/>
      <c r="V21" s="135" t="n"/>
      <c r="W21" s="135" t="n"/>
      <c r="X21" s="135" t="n"/>
      <c r="Y21" s="135" t="n"/>
      <c r="Z21" s="135" t="n"/>
      <c r="AA21" s="135" t="n"/>
      <c r="AB21" s="135" t="n"/>
      <c r="AC21" s="135" t="n"/>
      <c r="AD21" s="135" t="n"/>
      <c r="AE21" s="135" t="n"/>
      <c r="AF21" s="135" t="n"/>
      <c r="AG21" s="135" t="n"/>
      <c r="AH21" s="135" t="n"/>
      <c r="AI21" s="135" t="n"/>
      <c r="AJ21" s="135" t="n"/>
      <c r="AK21" s="135" t="n"/>
      <c r="AL21" s="135" t="n"/>
      <c r="AM21" s="135" t="n"/>
      <c r="AN21" s="135" t="n"/>
      <c r="AO21" s="135" t="n"/>
    </row>
    <row r="22" ht="20" customHeight="1" s="2">
      <c r="A22" s="126" t="inlineStr">
        <is>
          <t>★</t>
        </is>
      </c>
      <c r="B22" s="126" t="n"/>
      <c r="C22" s="126" t="inlineStr">
        <is>
          <t>2.1.5</t>
        </is>
      </c>
      <c r="D22" s="136" t="inlineStr">
        <is>
          <t>调研分析报告制定与评审</t>
        </is>
      </c>
      <c r="E22" s="127" t="n"/>
      <c r="F22" s="127" t="n"/>
      <c r="G22" s="128">
        <f>需求分析WBS!S25</f>
        <v/>
      </c>
      <c r="H22" s="129" t="n"/>
      <c r="I22" s="129" t="n"/>
      <c r="J22" s="128" t="inlineStr">
        <is>
          <t>√</t>
        </is>
      </c>
      <c r="K22" s="128" t="inlineStr">
        <is>
          <t>√</t>
        </is>
      </c>
      <c r="L22" s="128" t="inlineStr">
        <is>
          <t>√</t>
        </is>
      </c>
      <c r="M22" s="130" t="n"/>
      <c r="N22" s="131">
        <f>IF(Q22="是",O21,"")</f>
        <v/>
      </c>
      <c r="O22" s="131">
        <f>_xlfn.WORKDAY.INTL(N22,P22-1,1,法定节假日!$B$2:$B$67)</f>
        <v/>
      </c>
      <c r="P22" s="128" t="n">
        <v>1</v>
      </c>
      <c r="Q22" s="128" t="inlineStr">
        <is>
          <t>是</t>
        </is>
      </c>
      <c r="R22" s="129" t="inlineStr">
        <is>
          <t>陈本鸿</t>
        </is>
      </c>
      <c r="S22" s="129" t="n"/>
      <c r="T22" s="129" t="inlineStr">
        <is>
          <t>《调研分析报告》</t>
        </is>
      </c>
      <c r="U22" s="135" t="n"/>
      <c r="V22" s="135" t="n"/>
      <c r="W22" s="135" t="n"/>
      <c r="X22" s="135" t="n"/>
      <c r="Y22" s="135" t="n"/>
      <c r="Z22" s="135" t="n"/>
      <c r="AA22" s="135" t="n"/>
      <c r="AB22" s="135" t="n"/>
      <c r="AC22" s="135" t="n"/>
      <c r="AD22" s="135" t="n"/>
      <c r="AE22" s="135" t="n"/>
      <c r="AF22" s="135" t="n"/>
      <c r="AG22" s="135" t="n"/>
      <c r="AH22" s="135" t="n"/>
      <c r="AI22" s="135" t="n"/>
      <c r="AJ22" s="135" t="n"/>
      <c r="AK22" s="135" t="n"/>
      <c r="AL22" s="135" t="n"/>
      <c r="AM22" s="135" t="n"/>
      <c r="AN22" s="135" t="n"/>
      <c r="AO22" s="135" t="n"/>
    </row>
    <row r="23" outlineLevel="1" ht="20" customHeight="1" s="2">
      <c r="A23" s="24" t="n"/>
      <c r="B23" s="17" t="n">
        <v>2.2</v>
      </c>
      <c r="C23" s="19" t="n"/>
      <c r="D23" s="133" t="inlineStr">
        <is>
          <t>系统蓝图设计</t>
        </is>
      </c>
      <c r="E23" s="19" t="n"/>
      <c r="F23" s="22" t="n"/>
      <c r="G23" s="20">
        <f>需求分析WBS!S30</f>
        <v/>
      </c>
      <c r="H23" s="19" t="n"/>
      <c r="I23" s="19" t="n"/>
      <c r="J23" s="20" t="n"/>
      <c r="K23" s="20" t="n"/>
      <c r="L23" s="20" t="n"/>
      <c r="M23" s="42" t="inlineStr">
        <is>
          <t>W1-W13</t>
        </is>
      </c>
      <c r="N23" s="134">
        <f>N17</f>
        <v/>
      </c>
      <c r="O23" s="134">
        <f>_xlfn.WORKDAY.INTL(N23,P23-1,1,法定节假日!$B$2:$B$67)</f>
        <v/>
      </c>
      <c r="P23" s="20" t="n">
        <v>59</v>
      </c>
      <c r="Q23" s="20" t="inlineStr">
        <is>
          <t>是</t>
        </is>
      </c>
      <c r="R23" s="19" t="inlineStr">
        <is>
          <t>陈本鸿</t>
        </is>
      </c>
      <c r="S23" s="19" t="n"/>
      <c r="T23" s="19" t="n"/>
      <c r="U23" s="135" t="n"/>
      <c r="V23" s="135" t="n"/>
      <c r="W23" s="135" t="n"/>
      <c r="X23" s="135" t="n"/>
      <c r="Y23" s="135" t="n"/>
      <c r="Z23" s="135" t="n"/>
      <c r="AA23" s="135" t="n"/>
      <c r="AB23" s="135" t="n"/>
      <c r="AC23" s="135" t="n"/>
      <c r="AD23" s="135" t="n"/>
      <c r="AE23" s="135" t="n"/>
      <c r="AF23" s="135" t="n"/>
      <c r="AG23" s="135" t="n"/>
      <c r="AH23" s="135" t="n"/>
      <c r="AI23" s="135" t="n"/>
      <c r="AJ23" s="135" t="n"/>
      <c r="AK23" s="135" t="n"/>
      <c r="AL23" s="135" t="n"/>
      <c r="AM23" s="135" t="n"/>
      <c r="AN23" s="135" t="n"/>
      <c r="AO23" s="135" t="n"/>
    </row>
    <row r="24" ht="20" customHeight="1" s="2">
      <c r="A24" s="126" t="inlineStr">
        <is>
          <t>★</t>
        </is>
      </c>
      <c r="B24" s="126" t="n"/>
      <c r="C24" s="126" t="inlineStr">
        <is>
          <t>2.2.1</t>
        </is>
      </c>
      <c r="D24" s="136" t="inlineStr">
        <is>
          <t>需求确认与应答</t>
        </is>
      </c>
      <c r="E24" s="127" t="n"/>
      <c r="F24" s="127" t="n"/>
      <c r="G24" s="128">
        <f>需求分析WBS!S31</f>
        <v/>
      </c>
      <c r="H24" s="129" t="n"/>
      <c r="I24" s="129" t="n"/>
      <c r="J24" s="128" t="n"/>
      <c r="K24" s="128" t="n"/>
      <c r="L24" s="128" t="inlineStr">
        <is>
          <t>√</t>
        </is>
      </c>
      <c r="M24" s="130" t="inlineStr">
        <is>
          <t>W1-W5</t>
        </is>
      </c>
      <c r="N24" s="131">
        <f>N23</f>
        <v/>
      </c>
      <c r="O24" s="131">
        <f>_xlfn.WORKDAY.INTL(N24,P24-1,1,法定节假日!$B$2:$B$67)</f>
        <v/>
      </c>
      <c r="P24" s="128" t="n">
        <v>21</v>
      </c>
      <c r="Q24" s="128" t="n"/>
      <c r="R24" s="129" t="inlineStr">
        <is>
          <t>陈本鸿</t>
        </is>
      </c>
      <c r="S24" s="129" t="n"/>
      <c r="T24" s="129" t="inlineStr">
        <is>
          <t>《需求清单》《URS需求应答》</t>
        </is>
      </c>
      <c r="U24" s="135" t="n"/>
      <c r="V24" s="135" t="n"/>
      <c r="W24" s="135" t="n"/>
      <c r="X24" s="135" t="n"/>
      <c r="Y24" s="135" t="n"/>
      <c r="Z24" s="135" t="n"/>
      <c r="AA24" s="135" t="n"/>
      <c r="AB24" s="135" t="n"/>
      <c r="AC24" s="135" t="n"/>
      <c r="AD24" s="135" t="n"/>
      <c r="AE24" s="135" t="n"/>
      <c r="AF24" s="135" t="n"/>
      <c r="AG24" s="135" t="n"/>
      <c r="AH24" s="135" t="n"/>
      <c r="AI24" s="135" t="n"/>
      <c r="AJ24" s="135" t="n"/>
      <c r="AK24" s="135" t="n"/>
      <c r="AL24" s="135" t="n"/>
      <c r="AM24" s="135" t="n"/>
      <c r="AN24" s="135" t="n"/>
      <c r="AO24" s="135" t="n"/>
    </row>
    <row r="25" ht="20" customHeight="1" s="2">
      <c r="A25" s="126" t="inlineStr">
        <is>
          <t>★</t>
        </is>
      </c>
      <c r="B25" s="126" t="n"/>
      <c r="C25" s="126" t="inlineStr">
        <is>
          <t>2.2.2</t>
        </is>
      </c>
      <c r="D25" s="136" t="inlineStr">
        <is>
          <t>DP模块-蓝图设计报告制定</t>
        </is>
      </c>
      <c r="E25" s="127" t="n"/>
      <c r="F25" s="127" t="n"/>
      <c r="G25" s="128">
        <f>需求分析WBS!S34</f>
        <v/>
      </c>
      <c r="H25" s="129" t="n"/>
      <c r="I25" s="129" t="n"/>
      <c r="J25" s="128" t="n"/>
      <c r="K25" s="128" t="n"/>
      <c r="L25" s="128" t="inlineStr">
        <is>
          <t>√</t>
        </is>
      </c>
      <c r="M25" s="130" t="inlineStr">
        <is>
          <t>W1-W5</t>
        </is>
      </c>
      <c r="N25" s="131">
        <f>N24</f>
        <v/>
      </c>
      <c r="O25" s="131">
        <f>_xlfn.WORKDAY.INTL(N25,P25-1,1,法定节假日!$B$2:$B$67)</f>
        <v/>
      </c>
      <c r="P25" s="128" t="n">
        <v>21</v>
      </c>
      <c r="Q25" s="128" t="n"/>
      <c r="R25" s="129" t="inlineStr">
        <is>
          <t>文叶</t>
        </is>
      </c>
      <c r="S25" s="129" t="n"/>
      <c r="T25" s="129" t="inlineStr">
        <is>
          <t>《蓝图设计报告》</t>
        </is>
      </c>
      <c r="U25" s="135" t="n"/>
      <c r="V25" s="135" t="n"/>
      <c r="W25" s="135" t="n"/>
      <c r="X25" s="135" t="n"/>
      <c r="Y25" s="135" t="n"/>
      <c r="Z25" s="135" t="n"/>
      <c r="AA25" s="135" t="n"/>
      <c r="AB25" s="135" t="n"/>
      <c r="AC25" s="135" t="n"/>
      <c r="AD25" s="135" t="n"/>
      <c r="AE25" s="135" t="n"/>
      <c r="AF25" s="135" t="n"/>
      <c r="AG25" s="135" t="n"/>
      <c r="AH25" s="135" t="n"/>
      <c r="AI25" s="135" t="n"/>
      <c r="AJ25" s="135" t="n"/>
      <c r="AK25" s="135" t="n"/>
      <c r="AL25" s="135" t="n"/>
      <c r="AM25" s="135" t="n"/>
      <c r="AN25" s="135" t="n"/>
      <c r="AO25" s="135" t="n"/>
    </row>
    <row r="26" outlineLevel="2" ht="20" customHeight="1" s="2">
      <c r="A26" s="24" t="n"/>
      <c r="B26" s="24" t="n"/>
      <c r="C26" s="24" t="inlineStr">
        <is>
          <t>2.2.3</t>
        </is>
      </c>
      <c r="D26" s="33" t="inlineStr">
        <is>
          <t>APS模块-蓝图设计报告制定</t>
        </is>
      </c>
      <c r="E26" s="37" t="n"/>
      <c r="F26" s="37" t="n"/>
      <c r="G26" s="34">
        <f>需求分析WBS!S39</f>
        <v/>
      </c>
      <c r="H26" s="23" t="n"/>
      <c r="I26" s="34" t="n"/>
      <c r="J26" s="34" t="n"/>
      <c r="K26" s="34" t="n"/>
      <c r="L26" s="34" t="n"/>
      <c r="M26" s="45" t="inlineStr">
        <is>
          <t>W1-W9</t>
        </is>
      </c>
      <c r="N26" s="140">
        <f>N24</f>
        <v/>
      </c>
      <c r="O26" s="140">
        <f>_xlfn.WORKDAY.INTL(N26,P26-1,1,法定节假日!$B$2:$B$67)</f>
        <v/>
      </c>
      <c r="P26" s="34" t="n">
        <v>38</v>
      </c>
      <c r="Q26" s="34" t="n"/>
      <c r="R26" s="74" t="inlineStr">
        <is>
          <t>AP王旭东、AS林寒欣</t>
        </is>
      </c>
      <c r="S26" s="23" t="n"/>
      <c r="T26" s="23" t="inlineStr">
        <is>
          <t>《蓝图设计报告》</t>
        </is>
      </c>
      <c r="U26" s="135" t="n"/>
      <c r="V26" s="135" t="n"/>
      <c r="W26" s="135" t="n"/>
      <c r="X26" s="135" t="n"/>
      <c r="Y26" s="135" t="n"/>
      <c r="Z26" s="135" t="n"/>
      <c r="AA26" s="135" t="n"/>
      <c r="AB26" s="135" t="n"/>
      <c r="AC26" s="135" t="n"/>
      <c r="AD26" s="135" t="n"/>
      <c r="AE26" s="135" t="n"/>
      <c r="AF26" s="135" t="n"/>
      <c r="AG26" s="135" t="n"/>
      <c r="AH26" s="135" t="n"/>
      <c r="AI26" s="135" t="n"/>
      <c r="AJ26" s="135" t="n"/>
      <c r="AK26" s="135" t="n"/>
      <c r="AL26" s="135" t="n"/>
      <c r="AM26" s="135" t="n"/>
      <c r="AN26" s="135" t="n"/>
      <c r="AO26" s="135" t="n"/>
    </row>
    <row r="27" outlineLevel="2" ht="20" customHeight="1" s="2">
      <c r="A27" s="24" t="n"/>
      <c r="B27" s="24" t="n"/>
      <c r="C27" s="24" t="inlineStr">
        <is>
          <t>2.2.4</t>
        </is>
      </c>
      <c r="D27" s="33" t="inlineStr">
        <is>
          <t>IP模块-蓝图设计报告制定</t>
        </is>
      </c>
      <c r="E27" s="37" t="n"/>
      <c r="F27" s="37" t="n"/>
      <c r="G27" s="34">
        <f>需求分析WBS!S44</f>
        <v/>
      </c>
      <c r="H27" s="23" t="n"/>
      <c r="I27" s="34" t="n"/>
      <c r="J27" s="34" t="n"/>
      <c r="K27" s="34" t="n"/>
      <c r="L27" s="34" t="n"/>
      <c r="M27" s="45" t="inlineStr">
        <is>
          <t>W10-W13</t>
        </is>
      </c>
      <c r="N27" s="140" t="n">
        <v>46328</v>
      </c>
      <c r="O27" s="140">
        <f>_xlfn.WORKDAY.INTL(N27,P27-1,1,法定节假日!$B$2:$B$67)</f>
        <v/>
      </c>
      <c r="P27" s="34" t="n">
        <v>21</v>
      </c>
      <c r="Q27" s="34" t="inlineStr">
        <is>
          <t>是</t>
        </is>
      </c>
      <c r="R27" s="23" t="inlineStr">
        <is>
          <t>宋沛霖</t>
        </is>
      </c>
      <c r="S27" s="23" t="n"/>
      <c r="T27" s="23" t="inlineStr">
        <is>
          <t>《蓝图设计报告》</t>
        </is>
      </c>
      <c r="U27" s="135" t="n"/>
      <c r="V27" s="135" t="n"/>
      <c r="W27" s="135" t="n"/>
      <c r="X27" s="135" t="n"/>
      <c r="Y27" s="135" t="n"/>
      <c r="Z27" s="135" t="n"/>
      <c r="AA27" s="135" t="n"/>
      <c r="AB27" s="135" t="n"/>
      <c r="AC27" s="135" t="n"/>
      <c r="AD27" s="135" t="n"/>
      <c r="AE27" s="135" t="n"/>
      <c r="AF27" s="135" t="n"/>
      <c r="AG27" s="135" t="n"/>
      <c r="AH27" s="135" t="n"/>
      <c r="AI27" s="135" t="n"/>
      <c r="AJ27" s="135" t="n"/>
      <c r="AK27" s="135" t="n"/>
      <c r="AL27" s="135" t="n"/>
      <c r="AM27" s="135" t="n"/>
      <c r="AN27" s="135" t="n"/>
      <c r="AO27" s="135" t="n"/>
    </row>
    <row r="28" ht="20" customHeight="1" s="2">
      <c r="A28" s="126" t="inlineStr">
        <is>
          <t>★</t>
        </is>
      </c>
      <c r="B28" s="126" t="n"/>
      <c r="C28" s="126" t="inlineStr">
        <is>
          <t>2.2.5</t>
        </is>
      </c>
      <c r="D28" s="136" t="inlineStr">
        <is>
          <t>蓝图评审与签字确认</t>
        </is>
      </c>
      <c r="E28" s="127" t="n"/>
      <c r="F28" s="127" t="n"/>
      <c r="G28" s="128">
        <f>需求分析WBS!S49</f>
        <v/>
      </c>
      <c r="H28" s="129" t="n"/>
      <c r="I28" s="128" t="inlineStr">
        <is>
          <t>√</t>
        </is>
      </c>
      <c r="J28" s="128" t="inlineStr">
        <is>
          <t>√</t>
        </is>
      </c>
      <c r="K28" s="128" t="inlineStr">
        <is>
          <t>√</t>
        </is>
      </c>
      <c r="L28" s="128" t="inlineStr">
        <is>
          <t>√</t>
        </is>
      </c>
      <c r="M28" s="130" t="n"/>
      <c r="N28" s="131">
        <f>IF(Q28="是",O27,"")</f>
        <v/>
      </c>
      <c r="O28" s="131">
        <f>_xlfn.WORKDAY.INTL(N28,P28-1,1,法定节假日!$B$2:$B$67)</f>
        <v/>
      </c>
      <c r="P28" s="128" t="n">
        <v>1</v>
      </c>
      <c r="Q28" s="128" t="inlineStr">
        <is>
          <t>是</t>
        </is>
      </c>
      <c r="R28" s="129" t="inlineStr">
        <is>
          <t>周年根</t>
        </is>
      </c>
      <c r="S28" s="129" t="n"/>
      <c r="T28" s="129" t="inlineStr">
        <is>
          <t>《蓝图验收确认单》</t>
        </is>
      </c>
      <c r="U28" s="135" t="n"/>
      <c r="V28" s="135" t="n"/>
      <c r="W28" s="135" t="n"/>
      <c r="X28" s="135" t="n"/>
      <c r="Y28" s="135" t="n"/>
      <c r="Z28" s="135" t="n"/>
      <c r="AA28" s="135" t="n"/>
      <c r="AB28" s="135" t="n"/>
      <c r="AC28" s="135" t="n"/>
      <c r="AD28" s="135" t="n"/>
      <c r="AE28" s="135" t="n"/>
      <c r="AF28" s="135" t="n"/>
      <c r="AG28" s="135" t="n"/>
      <c r="AH28" s="135" t="n"/>
      <c r="AI28" s="135" t="n"/>
      <c r="AJ28" s="135" t="n"/>
      <c r="AK28" s="135" t="n"/>
      <c r="AL28" s="135" t="n"/>
      <c r="AM28" s="135" t="n"/>
      <c r="AN28" s="135" t="n"/>
      <c r="AO28" s="135" t="n"/>
    </row>
    <row r="29" outlineLevel="1" ht="20" customHeight="1" s="2">
      <c r="A29" s="24" t="n"/>
      <c r="B29" s="17" t="n">
        <v>2.3</v>
      </c>
      <c r="C29" s="19" t="n"/>
      <c r="D29" s="133" t="inlineStr">
        <is>
          <t>系统详细设计</t>
        </is>
      </c>
      <c r="E29" s="19" t="n"/>
      <c r="F29" s="19" t="n"/>
      <c r="G29" s="20">
        <f>需求分析WBS!S52</f>
        <v/>
      </c>
      <c r="H29" s="19" t="n"/>
      <c r="I29" s="19" t="n"/>
      <c r="J29" s="20" t="n"/>
      <c r="K29" s="20" t="n"/>
      <c r="L29" s="20" t="n"/>
      <c r="M29" s="42" t="inlineStr">
        <is>
          <t>W12-W25</t>
        </is>
      </c>
      <c r="N29" s="134" t="n">
        <v>46342</v>
      </c>
      <c r="O29" s="134">
        <f>_xlfn.WORKDAY.INTL(N29,P29-1,1,法定节假日!$B$2:$B$67)</f>
        <v/>
      </c>
      <c r="P29" s="20" t="n">
        <v>60</v>
      </c>
      <c r="Q29" s="20" t="inlineStr">
        <is>
          <t>是</t>
        </is>
      </c>
      <c r="R29" s="19" t="inlineStr">
        <is>
          <t>陈本鸿</t>
        </is>
      </c>
      <c r="S29" s="19" t="n"/>
      <c r="T29" s="19" t="n"/>
      <c r="U29" s="135" t="n"/>
      <c r="V29" s="135" t="n"/>
      <c r="W29" s="135" t="n"/>
      <c r="X29" s="135" t="n"/>
      <c r="Y29" s="135" t="n"/>
      <c r="Z29" s="135" t="n"/>
      <c r="AA29" s="135" t="n"/>
      <c r="AB29" s="135" t="n"/>
      <c r="AC29" s="135" t="n"/>
      <c r="AD29" s="135" t="n"/>
      <c r="AE29" s="135" t="n"/>
      <c r="AF29" s="135" t="n"/>
      <c r="AG29" s="135" t="n"/>
      <c r="AH29" s="135" t="n"/>
      <c r="AI29" s="135" t="n"/>
      <c r="AJ29" s="135" t="n"/>
      <c r="AK29" s="135" t="n"/>
      <c r="AL29" s="135" t="n"/>
      <c r="AM29" s="135" t="n"/>
      <c r="AN29" s="135" t="n"/>
      <c r="AO29" s="135" t="n"/>
    </row>
    <row r="30" ht="20" customHeight="1" s="2">
      <c r="A30" s="126" t="inlineStr">
        <is>
          <t>★</t>
        </is>
      </c>
      <c r="B30" s="126" t="n"/>
      <c r="C30" s="126" t="inlineStr">
        <is>
          <t>2.3.1</t>
        </is>
      </c>
      <c r="D30" s="136" t="inlineStr">
        <is>
          <t>DP模块-系统详设文档制定</t>
        </is>
      </c>
      <c r="E30" s="127" t="n"/>
      <c r="F30" s="127" t="n"/>
      <c r="G30" s="128">
        <f>需求分析WBS!S53</f>
        <v/>
      </c>
      <c r="H30" s="129" t="n"/>
      <c r="I30" s="128" t="n"/>
      <c r="J30" s="128" t="n"/>
      <c r="K30" s="128" t="n"/>
      <c r="L30" s="128" t="n"/>
      <c r="M30" s="130" t="inlineStr">
        <is>
          <t>W12-W15</t>
        </is>
      </c>
      <c r="N30" s="131">
        <f>N29</f>
        <v/>
      </c>
      <c r="O30" s="131">
        <f>_xlfn.WORKDAY.INTL(N30,P30-1,1,法定节假日!$B$2:$B$67)</f>
        <v/>
      </c>
      <c r="P30" s="128" t="n">
        <v>20</v>
      </c>
      <c r="Q30" s="128" t="n"/>
      <c r="R30" s="129" t="inlineStr">
        <is>
          <t>文叶</t>
        </is>
      </c>
      <c r="S30" s="129" t="n"/>
      <c r="T30" s="129" t="n"/>
      <c r="U30" s="135" t="n"/>
      <c r="V30" s="135" t="n"/>
      <c r="W30" s="135" t="n"/>
      <c r="X30" s="135" t="n"/>
      <c r="Y30" s="135" t="n"/>
      <c r="Z30" s="135" t="n"/>
      <c r="AA30" s="135" t="n"/>
      <c r="AB30" s="135" t="n"/>
      <c r="AC30" s="135" t="n"/>
      <c r="AD30" s="135" t="n"/>
      <c r="AE30" s="135" t="n"/>
      <c r="AF30" s="135" t="n"/>
      <c r="AG30" s="135" t="n"/>
      <c r="AH30" s="135" t="n"/>
      <c r="AI30" s="135" t="n"/>
      <c r="AJ30" s="135" t="n"/>
      <c r="AK30" s="135" t="n"/>
      <c r="AL30" s="135" t="n"/>
      <c r="AM30" s="135" t="n"/>
      <c r="AN30" s="135" t="n"/>
      <c r="AO30" s="135" t="n"/>
    </row>
    <row r="31" outlineLevel="2" ht="20" customHeight="1" s="2">
      <c r="A31" s="24" t="n"/>
      <c r="B31" s="24" t="n"/>
      <c r="C31" s="24" t="inlineStr">
        <is>
          <t>2.3.2</t>
        </is>
      </c>
      <c r="D31" s="33" t="inlineStr">
        <is>
          <t>APS模块-系统详设文档制定</t>
        </is>
      </c>
      <c r="E31" s="37" t="n"/>
      <c r="F31" s="37" t="n"/>
      <c r="G31" s="34">
        <f>需求分析WBS!S58</f>
        <v/>
      </c>
      <c r="H31" s="23" t="n"/>
      <c r="I31" s="34" t="n"/>
      <c r="J31" s="34" t="n"/>
      <c r="K31" s="34" t="n"/>
      <c r="L31" s="34" t="n"/>
      <c r="M31" s="45" t="inlineStr">
        <is>
          <t>W12-W20</t>
        </is>
      </c>
      <c r="N31" s="140">
        <f>N30</f>
        <v/>
      </c>
      <c r="O31" s="140">
        <f>_xlfn.WORKDAY.INTL(N31,P31-1,1,法定节假日!$B$2:$B$67)</f>
        <v/>
      </c>
      <c r="P31" s="34" t="n">
        <v>42</v>
      </c>
      <c r="Q31" s="34" t="n"/>
      <c r="R31" s="74" t="inlineStr">
        <is>
          <t>AP王旭东、AS林寒欣</t>
        </is>
      </c>
      <c r="S31" s="23" t="n"/>
      <c r="T31" s="23" t="n"/>
      <c r="U31" s="135" t="n"/>
      <c r="V31" s="135" t="n"/>
      <c r="W31" s="135" t="n"/>
      <c r="X31" s="135" t="n"/>
      <c r="Y31" s="135" t="n"/>
      <c r="Z31" s="135" t="n"/>
      <c r="AA31" s="135" t="n"/>
      <c r="AB31" s="135" t="n"/>
      <c r="AC31" s="135" t="n"/>
      <c r="AD31" s="135" t="n"/>
      <c r="AE31" s="135" t="n"/>
      <c r="AF31" s="135" t="n"/>
      <c r="AG31" s="135" t="n"/>
      <c r="AH31" s="135" t="n"/>
      <c r="AI31" s="135" t="n"/>
      <c r="AJ31" s="135" t="n"/>
      <c r="AK31" s="135" t="n"/>
      <c r="AL31" s="135" t="n"/>
      <c r="AM31" s="135" t="n"/>
      <c r="AN31" s="135" t="n"/>
      <c r="AO31" s="135" t="n"/>
    </row>
    <row r="32" outlineLevel="2" ht="20" customHeight="1" s="2">
      <c r="A32" s="24" t="n"/>
      <c r="B32" s="24" t="n"/>
      <c r="C32" s="24" t="inlineStr">
        <is>
          <t>2.3.3</t>
        </is>
      </c>
      <c r="D32" s="33" t="inlineStr">
        <is>
          <t>IP模块-系统详设文档制定</t>
        </is>
      </c>
      <c r="E32" s="37" t="n"/>
      <c r="F32" s="37" t="n"/>
      <c r="G32" s="34">
        <f>需求分析WBS!S63</f>
        <v/>
      </c>
      <c r="H32" s="23" t="n"/>
      <c r="I32" s="34" t="n"/>
      <c r="J32" s="34" t="n"/>
      <c r="K32" s="34" t="n"/>
      <c r="L32" s="34" t="n"/>
      <c r="M32" s="45" t="inlineStr">
        <is>
          <t>W21-W25</t>
        </is>
      </c>
      <c r="N32" s="140" t="n">
        <v>46405</v>
      </c>
      <c r="O32" s="140">
        <f>_xlfn.WORKDAY.INTL(N32,P32-1,1,法定节假日!$B$2:$B$67)</f>
        <v/>
      </c>
      <c r="P32" s="34" t="n">
        <v>18</v>
      </c>
      <c r="Q32" s="34" t="n"/>
      <c r="R32" s="23" t="inlineStr">
        <is>
          <t>宋沛霖</t>
        </is>
      </c>
      <c r="S32" s="23" t="n"/>
      <c r="T32" s="23" t="n"/>
      <c r="U32" s="135" t="n"/>
      <c r="V32" s="135" t="n"/>
      <c r="W32" s="135" t="n"/>
      <c r="X32" s="135" t="n"/>
      <c r="Y32" s="135" t="n"/>
      <c r="Z32" s="135" t="n"/>
      <c r="AA32" s="135" t="n"/>
      <c r="AB32" s="135" t="n"/>
      <c r="AC32" s="135" t="n"/>
      <c r="AD32" s="135" t="n"/>
      <c r="AE32" s="135" t="n"/>
      <c r="AF32" s="135" t="n"/>
      <c r="AG32" s="135" t="n"/>
      <c r="AH32" s="135" t="n"/>
      <c r="AI32" s="135" t="n"/>
      <c r="AJ32" s="135" t="n"/>
      <c r="AK32" s="135" t="n"/>
      <c r="AL32" s="135" t="n"/>
      <c r="AM32" s="135" t="n"/>
      <c r="AN32" s="135" t="n"/>
      <c r="AO32" s="135" t="n"/>
    </row>
    <row r="33" ht="20" customHeight="1" s="2">
      <c r="A33" s="126" t="inlineStr">
        <is>
          <t>★</t>
        </is>
      </c>
      <c r="B33" s="126" t="n"/>
      <c r="C33" s="126" t="inlineStr">
        <is>
          <t>2.3.4</t>
        </is>
      </c>
      <c r="D33" s="136" t="inlineStr">
        <is>
          <t>系统详设评审与签字确认</t>
        </is>
      </c>
      <c r="E33" s="127" t="n"/>
      <c r="F33" s="127" t="n"/>
      <c r="G33" s="128">
        <f>需求分析WBS!S68</f>
        <v/>
      </c>
      <c r="H33" s="129" t="n"/>
      <c r="I33" s="128" t="n"/>
      <c r="J33" s="128" t="inlineStr">
        <is>
          <t>√</t>
        </is>
      </c>
      <c r="K33" s="128" t="inlineStr">
        <is>
          <t>√</t>
        </is>
      </c>
      <c r="L33" s="128" t="inlineStr">
        <is>
          <t>√</t>
        </is>
      </c>
      <c r="M33" s="130" t="n"/>
      <c r="N33" s="131" t="n">
        <v>46437</v>
      </c>
      <c r="O33" s="131">
        <f>_xlfn.WORKDAY.INTL(N33,P33-1,1,法定节假日!$B$2:$B$67)</f>
        <v/>
      </c>
      <c r="P33" s="128" t="n">
        <v>1</v>
      </c>
      <c r="Q33" s="128" t="inlineStr">
        <is>
          <t>是</t>
        </is>
      </c>
      <c r="R33" s="129" t="inlineStr">
        <is>
          <t>周年根</t>
        </is>
      </c>
      <c r="S33" s="129" t="n"/>
      <c r="T33" s="129" t="inlineStr">
        <is>
          <t>《系统详细设计文档》</t>
        </is>
      </c>
      <c r="U33" s="135" t="n"/>
      <c r="V33" s="135" t="n"/>
      <c r="W33" s="135" t="n"/>
      <c r="X33" s="135" t="n"/>
      <c r="Y33" s="135" t="n"/>
      <c r="Z33" s="135" t="n"/>
      <c r="AA33" s="135" t="n"/>
      <c r="AB33" s="135" t="n"/>
      <c r="AC33" s="135" t="n"/>
      <c r="AD33" s="135" t="n"/>
      <c r="AE33" s="135" t="n"/>
      <c r="AF33" s="135" t="n"/>
      <c r="AG33" s="135" t="n"/>
      <c r="AH33" s="135" t="n"/>
      <c r="AI33" s="135" t="n"/>
      <c r="AJ33" s="135" t="n"/>
      <c r="AK33" s="135" t="n"/>
      <c r="AL33" s="135" t="n"/>
      <c r="AM33" s="135" t="n"/>
      <c r="AN33" s="135" t="n"/>
      <c r="AO33" s="135" t="n"/>
    </row>
    <row r="34" outlineLevel="1" ht="20" customHeight="1" s="2">
      <c r="A34" s="24" t="n"/>
      <c r="B34" s="17" t="n">
        <v>2.4</v>
      </c>
      <c r="C34" s="19" t="n"/>
      <c r="D34" s="133" t="inlineStr">
        <is>
          <t>输入数据处理与收集</t>
        </is>
      </c>
      <c r="E34" s="19" t="n"/>
      <c r="F34" s="19" t="n"/>
      <c r="G34" s="20">
        <f>需求分析WBS!S71</f>
        <v/>
      </c>
      <c r="H34" s="19" t="n"/>
      <c r="I34" s="19" t="n"/>
      <c r="J34" s="20" t="n"/>
      <c r="K34" s="20" t="n"/>
      <c r="L34" s="20" t="n"/>
      <c r="M34" s="42" t="inlineStr">
        <is>
          <t>W4-W13</t>
        </is>
      </c>
      <c r="N34" s="134" t="n">
        <v>46286</v>
      </c>
      <c r="O34" s="134">
        <f>_xlfn.WORKDAY.INTL(N34,P34-1,1,法定节假日!$B$2:$B$67)</f>
        <v/>
      </c>
      <c r="P34" s="20" t="n">
        <v>45</v>
      </c>
      <c r="Q34" s="20" t="inlineStr">
        <is>
          <t>是</t>
        </is>
      </c>
      <c r="R34" s="19" t="inlineStr">
        <is>
          <t>陈本鸿</t>
        </is>
      </c>
      <c r="S34" s="19" t="n"/>
      <c r="T34" s="19" t="n"/>
      <c r="U34" s="135" t="n"/>
      <c r="V34" s="135" t="n"/>
      <c r="W34" s="135" t="n"/>
      <c r="X34" s="135" t="n"/>
      <c r="Y34" s="135" t="n"/>
      <c r="Z34" s="135" t="n"/>
      <c r="AA34" s="135" t="n"/>
      <c r="AB34" s="135" t="n"/>
      <c r="AC34" s="135" t="n"/>
      <c r="AD34" s="135" t="n"/>
      <c r="AE34" s="135" t="n"/>
      <c r="AF34" s="135" t="n"/>
      <c r="AG34" s="135" t="n"/>
      <c r="AH34" s="135" t="n"/>
      <c r="AI34" s="135" t="n"/>
      <c r="AJ34" s="135" t="n"/>
      <c r="AK34" s="135" t="n"/>
      <c r="AL34" s="135" t="n"/>
      <c r="AM34" s="135" t="n"/>
      <c r="AN34" s="135" t="n"/>
      <c r="AO34" s="135" t="n"/>
    </row>
    <row r="35" ht="20" customHeight="1" s="2">
      <c r="A35" s="126" t="inlineStr">
        <is>
          <t>★</t>
        </is>
      </c>
      <c r="B35" s="126" t="n"/>
      <c r="C35" s="126" t="inlineStr">
        <is>
          <t>2.4.1</t>
        </is>
      </c>
      <c r="D35" s="136" t="inlineStr">
        <is>
          <t>数据收集模板制定与评审</t>
        </is>
      </c>
      <c r="E35" s="127" t="n"/>
      <c r="F35" s="127" t="n"/>
      <c r="G35" s="128">
        <f>需求分析WBS!S72</f>
        <v/>
      </c>
      <c r="H35" s="129" t="n"/>
      <c r="I35" s="129" t="n"/>
      <c r="J35" s="128" t="n"/>
      <c r="K35" s="128" t="inlineStr">
        <is>
          <t>√</t>
        </is>
      </c>
      <c r="L35" s="128" t="n"/>
      <c r="M35" s="130" t="inlineStr">
        <is>
          <t>W4-W13</t>
        </is>
      </c>
      <c r="N35" s="131">
        <f>N34</f>
        <v/>
      </c>
      <c r="O35" s="131">
        <f>_xlfn.WORKDAY.INTL(N35,P35-1,1,法定节假日!$B$2:$B$67)</f>
        <v/>
      </c>
      <c r="P35" s="128" t="n">
        <v>45</v>
      </c>
      <c r="Q35" s="128" t="n"/>
      <c r="R35" s="129" t="inlineStr">
        <is>
          <t>陈本鸿</t>
        </is>
      </c>
      <c r="S35" s="129" t="n"/>
      <c r="T35" s="129" t="inlineStr">
        <is>
          <t>《数据收集模板》</t>
        </is>
      </c>
      <c r="U35" s="135" t="n"/>
      <c r="V35" s="135" t="n"/>
      <c r="W35" s="135" t="n"/>
      <c r="X35" s="135" t="n"/>
      <c r="Y35" s="135" t="n"/>
      <c r="Z35" s="135" t="n"/>
      <c r="AA35" s="135" t="n"/>
      <c r="AB35" s="135" t="n"/>
      <c r="AC35" s="135" t="n"/>
      <c r="AD35" s="135" t="n"/>
      <c r="AE35" s="135" t="n"/>
      <c r="AF35" s="135" t="n"/>
      <c r="AG35" s="135" t="n"/>
      <c r="AH35" s="135" t="n"/>
      <c r="AI35" s="135" t="n"/>
      <c r="AJ35" s="135" t="n"/>
      <c r="AK35" s="135" t="n"/>
      <c r="AL35" s="135" t="n"/>
      <c r="AM35" s="135" t="n"/>
      <c r="AN35" s="135" t="n"/>
      <c r="AO35" s="135" t="n"/>
    </row>
    <row r="36" ht="20" customHeight="1" s="2">
      <c r="A36" s="126" t="inlineStr">
        <is>
          <t>★</t>
        </is>
      </c>
      <c r="B36" s="126" t="n"/>
      <c r="C36" s="126" t="inlineStr">
        <is>
          <t>2.4.2</t>
        </is>
      </c>
      <c r="D36" s="136" t="inlineStr">
        <is>
          <t>少量产品数据收集与验证</t>
        </is>
      </c>
      <c r="E36" s="127" t="n"/>
      <c r="F36" s="127" t="n"/>
      <c r="G36" s="128">
        <f>需求分析WBS!S76</f>
        <v/>
      </c>
      <c r="H36" s="129" t="n"/>
      <c r="I36" s="129" t="n"/>
      <c r="J36" s="128" t="n"/>
      <c r="K36" s="128" t="n"/>
      <c r="L36" s="128" t="n"/>
      <c r="M36" s="130" t="inlineStr">
        <is>
          <t>W4-W13</t>
        </is>
      </c>
      <c r="N36" s="131">
        <f>N35</f>
        <v/>
      </c>
      <c r="O36" s="131">
        <f>_xlfn.WORKDAY.INTL(N36,P36-1,1,法定节假日!$B$2:$B$67)</f>
        <v/>
      </c>
      <c r="P36" s="128" t="n">
        <v>45</v>
      </c>
      <c r="Q36" s="128" t="n"/>
      <c r="R36" s="129" t="inlineStr">
        <is>
          <t>宋沛霖</t>
        </is>
      </c>
      <c r="S36" s="129" t="n"/>
      <c r="T36" s="129" t="n"/>
      <c r="U36" s="135" t="n"/>
      <c r="V36" s="135" t="n"/>
      <c r="W36" s="135" t="n"/>
      <c r="X36" s="135" t="n"/>
      <c r="Y36" s="135" t="n"/>
      <c r="Z36" s="135" t="n"/>
      <c r="AA36" s="135" t="n"/>
      <c r="AB36" s="135" t="n"/>
      <c r="AC36" s="135" t="n"/>
      <c r="AD36" s="135" t="n"/>
      <c r="AE36" s="135" t="n"/>
      <c r="AF36" s="135" t="n"/>
      <c r="AG36" s="135" t="n"/>
      <c r="AH36" s="135" t="n"/>
      <c r="AI36" s="135" t="n"/>
      <c r="AJ36" s="135" t="n"/>
      <c r="AK36" s="135" t="n"/>
      <c r="AL36" s="135" t="n"/>
      <c r="AM36" s="135" t="n"/>
      <c r="AN36" s="135" t="n"/>
      <c r="AO36" s="135" t="n"/>
    </row>
    <row r="37" ht="20" customHeight="1" s="2">
      <c r="A37" s="126" t="inlineStr">
        <is>
          <t>★</t>
        </is>
      </c>
      <c r="B37" s="126" t="n"/>
      <c r="C37" s="126" t="inlineStr">
        <is>
          <t>2.4.3</t>
        </is>
      </c>
      <c r="D37" s="136" t="inlineStr">
        <is>
          <t>接口接入数据管理方案制定</t>
        </is>
      </c>
      <c r="E37" s="127" t="n"/>
      <c r="F37" s="127" t="n"/>
      <c r="G37" s="128">
        <f>需求分析WBS!S80</f>
        <v/>
      </c>
      <c r="H37" s="129" t="n"/>
      <c r="I37" s="129" t="n"/>
      <c r="J37" s="128" t="inlineStr">
        <is>
          <t>√</t>
        </is>
      </c>
      <c r="K37" s="128" t="inlineStr">
        <is>
          <t>√</t>
        </is>
      </c>
      <c r="L37" s="128" t="inlineStr">
        <is>
          <t>√</t>
        </is>
      </c>
      <c r="M37" s="130" t="inlineStr">
        <is>
          <t>W4-W13</t>
        </is>
      </c>
      <c r="N37" s="131">
        <f>N36</f>
        <v/>
      </c>
      <c r="O37" s="131">
        <f>_xlfn.WORKDAY.INTL(N37,P37-1,1,法定节假日!$B$2:$B$67)</f>
        <v/>
      </c>
      <c r="P37" s="128" t="n">
        <v>45</v>
      </c>
      <c r="Q37" s="128" t="n"/>
      <c r="R37" s="129" t="inlineStr">
        <is>
          <t>宋沛霖</t>
        </is>
      </c>
      <c r="S37" s="129" t="n"/>
      <c r="T37" s="129" t="inlineStr">
        <is>
          <t>《接口接入数据管理方案》</t>
        </is>
      </c>
      <c r="U37" s="135" t="n"/>
      <c r="V37" s="135" t="n"/>
      <c r="W37" s="135" t="n"/>
      <c r="X37" s="135" t="n"/>
      <c r="Y37" s="135" t="n"/>
      <c r="Z37" s="135" t="n"/>
      <c r="AA37" s="135" t="n"/>
      <c r="AB37" s="135" t="n"/>
      <c r="AC37" s="135" t="n"/>
      <c r="AD37" s="135" t="n"/>
      <c r="AE37" s="135" t="n"/>
      <c r="AF37" s="135" t="n"/>
      <c r="AG37" s="135" t="n"/>
      <c r="AH37" s="135" t="n"/>
      <c r="AI37" s="135" t="n"/>
      <c r="AJ37" s="135" t="n"/>
      <c r="AK37" s="135" t="n"/>
      <c r="AL37" s="135" t="n"/>
      <c r="AM37" s="135" t="n"/>
      <c r="AN37" s="135" t="n"/>
      <c r="AO37" s="135" t="n"/>
    </row>
    <row r="38" ht="20" customHeight="1" s="2">
      <c r="A38" s="126" t="inlineStr">
        <is>
          <t>★</t>
        </is>
      </c>
      <c r="B38" s="126" t="n"/>
      <c r="C38" s="126" t="inlineStr">
        <is>
          <t>2.4.4</t>
        </is>
      </c>
      <c r="D38" s="136" t="inlineStr">
        <is>
          <t>对接系统数据处理与验证</t>
        </is>
      </c>
      <c r="E38" s="127" t="n"/>
      <c r="F38" s="127" t="n"/>
      <c r="G38" s="128">
        <f>需求分析WBS!S84</f>
        <v/>
      </c>
      <c r="H38" s="129" t="n"/>
      <c r="I38" s="129" t="n"/>
      <c r="J38" s="128" t="n"/>
      <c r="K38" s="128" t="n"/>
      <c r="L38" s="128" t="n"/>
      <c r="M38" s="130" t="inlineStr">
        <is>
          <t>W4-W13</t>
        </is>
      </c>
      <c r="N38" s="131">
        <f>N37</f>
        <v/>
      </c>
      <c r="O38" s="131">
        <f>_xlfn.WORKDAY.INTL(N38,P38-1,1,法定节假日!$B$2:$B$67)</f>
        <v/>
      </c>
      <c r="P38" s="128" t="n">
        <v>45</v>
      </c>
      <c r="Q38" s="128" t="n"/>
      <c r="R38" s="129" t="inlineStr">
        <is>
          <t>宋沛霖</t>
        </is>
      </c>
      <c r="S38" s="129" t="n"/>
      <c r="T38" s="129" t="n"/>
      <c r="U38" s="135" t="n"/>
      <c r="V38" s="135" t="n"/>
      <c r="W38" s="135" t="n"/>
      <c r="X38" s="135" t="n"/>
      <c r="Y38" s="135" t="n"/>
      <c r="Z38" s="135" t="n"/>
      <c r="AA38" s="135" t="n"/>
      <c r="AB38" s="135" t="n"/>
      <c r="AC38" s="135" t="n"/>
      <c r="AD38" s="135" t="n"/>
      <c r="AE38" s="135" t="n"/>
      <c r="AF38" s="135" t="n"/>
      <c r="AG38" s="135" t="n"/>
      <c r="AH38" s="135" t="n"/>
      <c r="AI38" s="135" t="n"/>
      <c r="AJ38" s="135" t="n"/>
      <c r="AK38" s="135" t="n"/>
      <c r="AL38" s="135" t="n"/>
      <c r="AM38" s="135" t="n"/>
      <c r="AN38" s="135" t="n"/>
      <c r="AO38" s="135" t="n"/>
    </row>
    <row r="39" ht="20" customHeight="1" s="2">
      <c r="A39" s="126" t="inlineStr">
        <is>
          <t>★</t>
        </is>
      </c>
      <c r="B39" s="126" t="n"/>
      <c r="C39" s="126" t="inlineStr">
        <is>
          <t>2.4.5</t>
        </is>
      </c>
      <c r="D39" s="136" t="inlineStr">
        <is>
          <t>全量产品数据与规则收集</t>
        </is>
      </c>
      <c r="E39" s="127" t="inlineStr">
        <is>
          <t>4.1.2</t>
        </is>
      </c>
      <c r="F39" s="127" t="n"/>
      <c r="G39" s="128">
        <f>需求分析WBS!S86</f>
        <v/>
      </c>
      <c r="H39" s="129" t="n"/>
      <c r="I39" s="129" t="n"/>
      <c r="J39" s="128" t="n"/>
      <c r="K39" s="128" t="n"/>
      <c r="L39" s="128" t="n"/>
      <c r="M39" s="130" t="inlineStr">
        <is>
          <t>W4-W13</t>
        </is>
      </c>
      <c r="N39" s="131">
        <f>N38</f>
        <v/>
      </c>
      <c r="O39" s="131">
        <f>_xlfn.WORKDAY.INTL(N39,P39-1,1,法定节假日!$B$2:$B$67)</f>
        <v/>
      </c>
      <c r="P39" s="128" t="n">
        <v>45</v>
      </c>
      <c r="Q39" s="128" t="n"/>
      <c r="R39" s="129" t="inlineStr">
        <is>
          <t>宋沛霖</t>
        </is>
      </c>
      <c r="S39" s="129" t="n"/>
      <c r="T39" s="129" t="inlineStr">
        <is>
          <t>《全量数据收集表》</t>
        </is>
      </c>
      <c r="U39" s="135" t="n"/>
      <c r="V39" s="135" t="n"/>
      <c r="W39" s="135" t="n"/>
      <c r="X39" s="135" t="n"/>
      <c r="Y39" s="135" t="n"/>
      <c r="Z39" s="135" t="n"/>
      <c r="AA39" s="135" t="n"/>
      <c r="AB39" s="135" t="n"/>
      <c r="AC39" s="135" t="n"/>
      <c r="AD39" s="135" t="n"/>
      <c r="AE39" s="135" t="n"/>
      <c r="AF39" s="135" t="n"/>
      <c r="AG39" s="135" t="n"/>
      <c r="AH39" s="135" t="n"/>
      <c r="AI39" s="135" t="n"/>
      <c r="AJ39" s="135" t="n"/>
      <c r="AK39" s="135" t="n"/>
      <c r="AL39" s="135" t="n"/>
      <c r="AM39" s="135" t="n"/>
      <c r="AN39" s="135" t="n"/>
      <c r="AO39" s="135" t="n"/>
    </row>
    <row r="40" outlineLevel="1" ht="20" customHeight="1" s="2">
      <c r="A40" s="24" t="n"/>
      <c r="B40" s="17" t="n">
        <v>2.5</v>
      </c>
      <c r="C40" s="17" t="n"/>
      <c r="D40" s="141" t="inlineStr">
        <is>
          <t>运行环境准备</t>
        </is>
      </c>
      <c r="E40" s="22" t="n"/>
      <c r="F40" s="22" t="n"/>
      <c r="G40" s="20">
        <f>需求分析WBS!S89</f>
        <v/>
      </c>
      <c r="H40" s="19" t="n"/>
      <c r="I40" s="19" t="n"/>
      <c r="J40" s="20" t="n"/>
      <c r="K40" s="20" t="n"/>
      <c r="L40" s="20" t="n"/>
      <c r="M40" s="42" t="inlineStr">
        <is>
          <t>W25-W26</t>
        </is>
      </c>
      <c r="N40" s="134" t="n">
        <v>46433</v>
      </c>
      <c r="O40" s="134">
        <f>_xlfn.WORKDAY.INTL(N40,P40-1,1,法定节假日!$B$2:$B$67)</f>
        <v/>
      </c>
      <c r="P40" s="20" t="n">
        <v>10</v>
      </c>
      <c r="Q40" s="20" t="n"/>
      <c r="R40" s="19" t="inlineStr">
        <is>
          <t>陈本鸿</t>
        </is>
      </c>
      <c r="S40" s="19" t="n"/>
      <c r="T40" s="19" t="n"/>
      <c r="U40" s="135" t="n"/>
      <c r="V40" s="135" t="n"/>
      <c r="W40" s="135" t="n"/>
      <c r="X40" s="135" t="n"/>
      <c r="Y40" s="135" t="n"/>
      <c r="Z40" s="135" t="n"/>
      <c r="AA40" s="135" t="n"/>
      <c r="AB40" s="135" t="n"/>
      <c r="AC40" s="135" t="n"/>
      <c r="AD40" s="135" t="n"/>
      <c r="AE40" s="135" t="n"/>
      <c r="AF40" s="135" t="n"/>
      <c r="AG40" s="135" t="n"/>
      <c r="AH40" s="135" t="n"/>
      <c r="AI40" s="135" t="n"/>
      <c r="AJ40" s="135" t="n"/>
      <c r="AK40" s="135" t="n"/>
      <c r="AL40" s="135" t="n"/>
      <c r="AM40" s="135" t="n"/>
      <c r="AN40" s="135" t="n"/>
      <c r="AO40" s="135" t="n"/>
    </row>
    <row r="41" ht="20" customHeight="1" s="2">
      <c r="A41" s="126" t="inlineStr">
        <is>
          <t>★</t>
        </is>
      </c>
      <c r="B41" s="126" t="n"/>
      <c r="C41" s="126" t="inlineStr">
        <is>
          <t>2.5.1</t>
        </is>
      </c>
      <c r="D41" s="136" t="inlineStr">
        <is>
          <t>运行环境需求确认</t>
        </is>
      </c>
      <c r="E41" s="127" t="n"/>
      <c r="F41" s="127" t="n"/>
      <c r="G41" s="128">
        <f>需求分析WBS!S90</f>
        <v/>
      </c>
      <c r="H41" s="129" t="n"/>
      <c r="I41" s="129" t="n"/>
      <c r="J41" s="128" t="n"/>
      <c r="K41" s="128" t="n"/>
      <c r="L41" s="128" t="n"/>
      <c r="M41" s="130" t="inlineStr">
        <is>
          <t>W25-W26</t>
        </is>
      </c>
      <c r="N41" s="131">
        <f>N40</f>
        <v/>
      </c>
      <c r="O41" s="131">
        <f>_xlfn.WORKDAY.INTL(N41,P41-1,1,法定节假日!$B$2:$B$67)</f>
        <v/>
      </c>
      <c r="P41" s="128" t="n">
        <v>10</v>
      </c>
      <c r="Q41" s="128" t="n"/>
      <c r="R41" s="129" t="inlineStr">
        <is>
          <t>陈本鸿</t>
        </is>
      </c>
      <c r="S41" s="129" t="n"/>
      <c r="T41" s="129" t="inlineStr">
        <is>
          <t>《服务器配置需求》</t>
        </is>
      </c>
      <c r="U41" s="135" t="n"/>
      <c r="V41" s="135" t="n"/>
      <c r="W41" s="135" t="n"/>
      <c r="X41" s="135" t="n"/>
      <c r="Y41" s="135" t="n"/>
      <c r="Z41" s="135" t="n"/>
      <c r="AA41" s="135" t="n"/>
      <c r="AB41" s="135" t="n"/>
      <c r="AC41" s="135" t="n"/>
      <c r="AD41" s="135" t="n"/>
      <c r="AE41" s="135" t="n"/>
      <c r="AF41" s="135" t="n"/>
      <c r="AG41" s="135" t="n"/>
      <c r="AH41" s="135" t="n"/>
      <c r="AI41" s="135" t="n"/>
      <c r="AJ41" s="135" t="n"/>
      <c r="AK41" s="135" t="n"/>
      <c r="AL41" s="135" t="n"/>
      <c r="AM41" s="135" t="n"/>
      <c r="AN41" s="135" t="n"/>
      <c r="AO41" s="135" t="n"/>
    </row>
    <row r="42" ht="20" customHeight="1" s="2">
      <c r="A42" s="126" t="inlineStr">
        <is>
          <t>★</t>
        </is>
      </c>
      <c r="B42" s="126" t="n"/>
      <c r="C42" s="126" t="inlineStr">
        <is>
          <t>2.5.2</t>
        </is>
      </c>
      <c r="D42" s="136" t="inlineStr">
        <is>
          <t>客户IT环境准备</t>
        </is>
      </c>
      <c r="E42" s="127" t="n"/>
      <c r="F42" s="127" t="n"/>
      <c r="G42" s="128">
        <f>需求分析WBS!S92</f>
        <v/>
      </c>
      <c r="H42" s="129" t="n"/>
      <c r="I42" s="129" t="n"/>
      <c r="J42" s="128" t="n"/>
      <c r="K42" s="128" t="n"/>
      <c r="L42" s="128" t="n"/>
      <c r="M42" s="130" t="inlineStr">
        <is>
          <t>W25-W26</t>
        </is>
      </c>
      <c r="N42" s="131">
        <f>N41</f>
        <v/>
      </c>
      <c r="O42" s="131">
        <f>_xlfn.WORKDAY.INTL(N42,P42-1,1,法定节假日!$B$2:$B$67)</f>
        <v/>
      </c>
      <c r="P42" s="128" t="n">
        <v>10</v>
      </c>
      <c r="Q42" s="128" t="n"/>
      <c r="R42" s="129" t="inlineStr">
        <is>
          <t>陈本鸿</t>
        </is>
      </c>
      <c r="S42" s="129" t="n"/>
      <c r="T42" s="129" t="n"/>
      <c r="U42" s="135" t="n"/>
      <c r="V42" s="135" t="n"/>
      <c r="W42" s="135" t="n"/>
      <c r="X42" s="135" t="n"/>
      <c r="Y42" s="135" t="n"/>
      <c r="Z42" s="135" t="n"/>
      <c r="AA42" s="135" t="n"/>
      <c r="AB42" s="135" t="n"/>
      <c r="AC42" s="135" t="n"/>
      <c r="AD42" s="135" t="n"/>
      <c r="AE42" s="135" t="n"/>
      <c r="AF42" s="135" t="n"/>
      <c r="AG42" s="135" t="n"/>
      <c r="AH42" s="135" t="n"/>
      <c r="AI42" s="135" t="n"/>
      <c r="AJ42" s="135" t="n"/>
      <c r="AK42" s="135" t="n"/>
      <c r="AL42" s="135" t="n"/>
      <c r="AM42" s="135" t="n"/>
      <c r="AN42" s="135" t="n"/>
      <c r="AO42" s="135" t="n"/>
    </row>
    <row r="43" ht="20" customFormat="1" customHeight="1" s="60">
      <c r="A43" s="126" t="inlineStr">
        <is>
          <t>★</t>
        </is>
      </c>
      <c r="B43" s="126" t="n"/>
      <c r="C43" s="126" t="inlineStr">
        <is>
          <t>2.5.3</t>
        </is>
      </c>
      <c r="D43" s="136" t="inlineStr">
        <is>
          <t>网络访问准备</t>
        </is>
      </c>
      <c r="E43" s="127" t="n"/>
      <c r="F43" s="127" t="n"/>
      <c r="G43" s="128">
        <f>需求分析WBS!S94</f>
        <v/>
      </c>
      <c r="H43" s="129" t="n"/>
      <c r="I43" s="129" t="n"/>
      <c r="J43" s="128" t="n"/>
      <c r="K43" s="128" t="n"/>
      <c r="L43" s="128" t="n"/>
      <c r="M43" s="130" t="inlineStr">
        <is>
          <t>W25-W26</t>
        </is>
      </c>
      <c r="N43" s="131">
        <f>N42</f>
        <v/>
      </c>
      <c r="O43" s="131">
        <f>_xlfn.WORKDAY.INTL(N43,P43-1,1,法定节假日!$B$2:$B$67)</f>
        <v/>
      </c>
      <c r="P43" s="128" t="n">
        <v>10</v>
      </c>
      <c r="Q43" s="128" t="n"/>
      <c r="R43" s="129" t="inlineStr">
        <is>
          <t>陈本鸿</t>
        </is>
      </c>
      <c r="S43" s="129" t="n"/>
      <c r="T43" s="129" t="inlineStr">
        <is>
          <t>《网络访问信息表》</t>
        </is>
      </c>
      <c r="U43" s="142" t="n"/>
      <c r="V43" s="142" t="n"/>
      <c r="W43" s="142" t="n"/>
      <c r="X43" s="142" t="n"/>
      <c r="Y43" s="142" t="n"/>
      <c r="Z43" s="142" t="n"/>
      <c r="AA43" s="142" t="n"/>
      <c r="AB43" s="142" t="n"/>
      <c r="AC43" s="142" t="n"/>
      <c r="AD43" s="142" t="n"/>
      <c r="AE43" s="142" t="n"/>
      <c r="AF43" s="142" t="n"/>
      <c r="AG43" s="142" t="n"/>
      <c r="AH43" s="142" t="n"/>
      <c r="AI43" s="142" t="n"/>
      <c r="AJ43" s="142" t="n"/>
      <c r="AK43" s="142" t="n"/>
      <c r="AL43" s="142" t="n"/>
      <c r="AM43" s="142" t="n"/>
      <c r="AN43" s="142" t="n"/>
      <c r="AO43" s="142" t="n"/>
    </row>
    <row r="44" ht="20" customFormat="1" customHeight="1" s="59">
      <c r="A44" s="126" t="n">
        <v>3</v>
      </c>
      <c r="B44" s="126" t="n"/>
      <c r="C44" s="126" t="n"/>
      <c r="D44" s="126" t="inlineStr">
        <is>
          <t>系统实现</t>
        </is>
      </c>
      <c r="E44" s="127" t="n"/>
      <c r="F44" s="127" t="n"/>
      <c r="G44" s="128">
        <f>IF(COUNTIF(G45:G62,"未完成")=COUNTA(G45:G62),"未完成",IF(COUNTIF(G45:G62,"已完成")=COUNTA(G45:G62),"已完成","进行中"))</f>
        <v/>
      </c>
      <c r="H44" s="129" t="n"/>
      <c r="I44" s="129" t="n"/>
      <c r="J44" s="128" t="n"/>
      <c r="K44" s="128" t="n"/>
      <c r="L44" s="128" t="n"/>
      <c r="M44" s="130" t="inlineStr">
        <is>
          <t>W19-W35</t>
        </is>
      </c>
      <c r="N44" s="131" t="n">
        <v>46391</v>
      </c>
      <c r="O44" s="131">
        <f>_xlfn.WORKDAY.INTL(N44,P44-1,1,法定节假日!$B$2:$B$67)</f>
        <v/>
      </c>
      <c r="P44" s="128" t="n">
        <v>77</v>
      </c>
      <c r="Q44" s="128" t="n"/>
      <c r="R44" s="129" t="inlineStr">
        <is>
          <t>周年根</t>
        </is>
      </c>
      <c r="S44" s="129" t="n"/>
      <c r="T44" s="129" t="n"/>
      <c r="U44" s="135" t="n"/>
      <c r="V44" s="135" t="n"/>
      <c r="W44" s="135" t="n"/>
      <c r="X44" s="135" t="n"/>
      <c r="Y44" s="135" t="n"/>
      <c r="Z44" s="135" t="n"/>
      <c r="AA44" s="135" t="n"/>
      <c r="AB44" s="135" t="n"/>
      <c r="AC44" s="135" t="n"/>
      <c r="AD44" s="135" t="n"/>
      <c r="AE44" s="135" t="n"/>
      <c r="AF44" s="135" t="n"/>
      <c r="AG44" s="135" t="n"/>
      <c r="AH44" s="135" t="n"/>
      <c r="AI44" s="135" t="n"/>
      <c r="AJ44" s="135" t="n"/>
      <c r="AK44" s="135" t="n"/>
      <c r="AL44" s="135" t="n"/>
      <c r="AM44" s="135" t="n"/>
      <c r="AN44" s="135" t="n"/>
      <c r="AO44" s="135" t="n"/>
    </row>
    <row r="45" outlineLevel="1" ht="20" customFormat="1" customHeight="1" s="60">
      <c r="A45" s="76" t="n"/>
      <c r="B45" s="82" t="n">
        <v>3.1</v>
      </c>
      <c r="C45" s="82" t="n"/>
      <c r="D45" s="141" t="inlineStr">
        <is>
          <t>系统实现准备</t>
        </is>
      </c>
      <c r="E45" s="83" t="n"/>
      <c r="F45" s="83" t="n"/>
      <c r="G45" s="84">
        <f>系统实现WBS!S3</f>
        <v/>
      </c>
      <c r="H45" s="85" t="n"/>
      <c r="I45" s="85" t="n"/>
      <c r="J45" s="84" t="n"/>
      <c r="K45" s="84" t="n"/>
      <c r="L45" s="84" t="n"/>
      <c r="M45" s="86" t="inlineStr">
        <is>
          <t>W19</t>
        </is>
      </c>
      <c r="N45" s="143">
        <f>N44</f>
        <v/>
      </c>
      <c r="O45" s="143">
        <f>_xlfn.WORKDAY.INTL(N45,P45-1,1,法定节假日!$B$2:$B$67)</f>
        <v/>
      </c>
      <c r="P45" s="84" t="n">
        <v>5</v>
      </c>
      <c r="Q45" s="84" t="n"/>
      <c r="R45" s="87" t="inlineStr">
        <is>
          <t>陈本鸿</t>
        </is>
      </c>
      <c r="S45" s="85" t="n"/>
      <c r="T45" s="85" t="n"/>
      <c r="U45" s="142" t="n"/>
      <c r="V45" s="142" t="n"/>
      <c r="W45" s="142" t="n"/>
      <c r="X45" s="142" t="n"/>
      <c r="Y45" s="142" t="n"/>
      <c r="Z45" s="142" t="n"/>
      <c r="AA45" s="142" t="n"/>
      <c r="AB45" s="142" t="n"/>
      <c r="AC45" s="142" t="n"/>
      <c r="AD45" s="142" t="n"/>
      <c r="AE45" s="142" t="n"/>
      <c r="AF45" s="142" t="n"/>
      <c r="AG45" s="142" t="n"/>
      <c r="AH45" s="142" t="n"/>
      <c r="AI45" s="142" t="n"/>
      <c r="AJ45" s="142" t="n"/>
      <c r="AK45" s="142" t="n"/>
      <c r="AL45" s="142" t="n"/>
      <c r="AM45" s="142" t="n"/>
      <c r="AN45" s="142" t="n"/>
      <c r="AO45" s="142" t="n"/>
    </row>
    <row r="46" ht="20" customFormat="1" customHeight="1" s="60">
      <c r="A46" s="126" t="inlineStr">
        <is>
          <t>★</t>
        </is>
      </c>
      <c r="B46" s="126" t="n"/>
      <c r="C46" s="126" t="inlineStr">
        <is>
          <t>3.1.1</t>
        </is>
      </c>
      <c r="D46" s="136" t="inlineStr">
        <is>
          <t>开发设计及工时预估</t>
        </is>
      </c>
      <c r="E46" s="127" t="n"/>
      <c r="F46" s="127" t="n"/>
      <c r="G46" s="128">
        <f>系统实现WBS!S4</f>
        <v/>
      </c>
      <c r="H46" s="129" t="n"/>
      <c r="I46" s="129" t="n"/>
      <c r="J46" s="128" t="n"/>
      <c r="K46" s="128" t="n"/>
      <c r="L46" s="128" t="n"/>
      <c r="M46" s="130" t="inlineStr">
        <is>
          <t>W19</t>
        </is>
      </c>
      <c r="N46" s="131">
        <f>N45</f>
        <v/>
      </c>
      <c r="O46" s="131">
        <f>_xlfn.WORKDAY.INTL(N46,P46-1,1,法定节假日!$B$2:$B$67)</f>
        <v/>
      </c>
      <c r="P46" s="128" t="n">
        <v>5</v>
      </c>
      <c r="Q46" s="128" t="n"/>
      <c r="R46" s="129" t="inlineStr">
        <is>
          <t>陈本鸿</t>
        </is>
      </c>
      <c r="S46" s="129" t="n"/>
      <c r="T46" s="129" t="inlineStr">
        <is>
          <t>《需求清单》</t>
        </is>
      </c>
      <c r="U46" s="142" t="n"/>
      <c r="V46" s="142" t="n"/>
      <c r="W46" s="142" t="n"/>
      <c r="X46" s="142" t="n"/>
      <c r="Y46" s="142" t="n"/>
      <c r="Z46" s="142" t="n"/>
      <c r="AA46" s="142" t="n"/>
      <c r="AB46" s="142" t="n"/>
      <c r="AC46" s="142" t="n"/>
      <c r="AD46" s="142" t="n"/>
      <c r="AE46" s="142" t="n"/>
      <c r="AF46" s="142" t="n"/>
      <c r="AG46" s="142" t="n"/>
      <c r="AH46" s="142" t="n"/>
      <c r="AI46" s="142" t="n"/>
      <c r="AJ46" s="142" t="n"/>
      <c r="AK46" s="142" t="n"/>
      <c r="AL46" s="142" t="n"/>
      <c r="AM46" s="142" t="n"/>
      <c r="AN46" s="142" t="n"/>
      <c r="AO46" s="142" t="n"/>
    </row>
    <row r="47" ht="20" customFormat="1" customHeight="1" s="60">
      <c r="A47" s="126" t="inlineStr">
        <is>
          <t>★</t>
        </is>
      </c>
      <c r="B47" s="126" t="n"/>
      <c r="C47" s="126" t="inlineStr">
        <is>
          <t>3.1.2</t>
        </is>
      </c>
      <c r="D47" s="136" t="inlineStr">
        <is>
          <t>需求版本及发布计划确认</t>
        </is>
      </c>
      <c r="E47" s="127" t="n"/>
      <c r="F47" s="127" t="n"/>
      <c r="G47" s="128">
        <f>系统实现WBS!S8</f>
        <v/>
      </c>
      <c r="H47" s="129" t="n"/>
      <c r="I47" s="129" t="n"/>
      <c r="J47" s="128" t="inlineStr">
        <is>
          <t>√</t>
        </is>
      </c>
      <c r="K47" s="128" t="inlineStr">
        <is>
          <t>√</t>
        </is>
      </c>
      <c r="L47" s="128" t="inlineStr">
        <is>
          <t>√</t>
        </is>
      </c>
      <c r="M47" s="130" t="inlineStr">
        <is>
          <t>W19</t>
        </is>
      </c>
      <c r="N47" s="131">
        <f>N46</f>
        <v/>
      </c>
      <c r="O47" s="131">
        <f>_xlfn.WORKDAY.INTL(N47,P47-1,1,法定节假日!$B$2:$B$67)</f>
        <v/>
      </c>
      <c r="P47" s="128" t="n">
        <v>5</v>
      </c>
      <c r="Q47" s="128" t="n"/>
      <c r="R47" s="129" t="inlineStr">
        <is>
          <t>陈本鸿</t>
        </is>
      </c>
      <c r="S47" s="129" t="n"/>
      <c r="T47" s="129" t="inlineStr">
        <is>
          <t>《需求跟踪表》</t>
        </is>
      </c>
      <c r="U47" s="142" t="n"/>
      <c r="V47" s="142" t="n"/>
      <c r="W47" s="142" t="n"/>
      <c r="X47" s="142" t="n"/>
      <c r="Y47" s="142" t="n"/>
      <c r="Z47" s="142" t="n"/>
      <c r="AA47" s="142" t="n"/>
      <c r="AB47" s="142" t="n"/>
      <c r="AC47" s="142" t="n"/>
      <c r="AD47" s="142" t="n"/>
      <c r="AE47" s="142" t="n"/>
      <c r="AF47" s="142" t="n"/>
      <c r="AG47" s="142" t="n"/>
      <c r="AH47" s="142" t="n"/>
      <c r="AI47" s="142" t="n"/>
      <c r="AJ47" s="142" t="n"/>
      <c r="AK47" s="142" t="n"/>
      <c r="AL47" s="142" t="n"/>
      <c r="AM47" s="142" t="n"/>
      <c r="AN47" s="142" t="n"/>
      <c r="AO47" s="142" t="n"/>
    </row>
    <row r="48" outlineLevel="1" ht="20" customFormat="1" customHeight="1" s="60">
      <c r="A48" s="76" t="n"/>
      <c r="B48" s="82" t="n">
        <v>3.2</v>
      </c>
      <c r="C48" s="82" t="n"/>
      <c r="D48" s="141" t="inlineStr">
        <is>
          <t>版本开发与用户确认</t>
        </is>
      </c>
      <c r="E48" s="83" t="n"/>
      <c r="F48" s="83" t="n"/>
      <c r="G48" s="84">
        <f>系统实现WBS!S12</f>
        <v/>
      </c>
      <c r="H48" s="85" t="n"/>
      <c r="I48" s="85" t="n"/>
      <c r="J48" s="84" t="n"/>
      <c r="K48" s="84" t="n"/>
      <c r="L48" s="84" t="n"/>
      <c r="M48" s="86" t="inlineStr">
        <is>
          <t>W19-W35</t>
        </is>
      </c>
      <c r="N48" s="143" t="n">
        <v>46391</v>
      </c>
      <c r="O48" s="143">
        <f>_xlfn.WORKDAY.INTL(N48,P48-1,1,法定节假日!$B$2:$B$67)</f>
        <v/>
      </c>
      <c r="P48" s="84" t="n">
        <v>72</v>
      </c>
      <c r="Q48" s="84" t="n"/>
      <c r="R48" s="85" t="inlineStr">
        <is>
          <t>陈本鸿</t>
        </is>
      </c>
      <c r="S48" s="85" t="n"/>
      <c r="T48" s="85" t="n"/>
      <c r="U48" s="142" t="n"/>
      <c r="V48" s="142" t="n"/>
      <c r="W48" s="142" t="n"/>
      <c r="X48" s="142" t="n"/>
      <c r="Y48" s="142" t="n"/>
      <c r="Z48" s="142" t="n"/>
      <c r="AA48" s="142" t="n"/>
      <c r="AB48" s="142" t="n"/>
      <c r="AC48" s="142" t="n"/>
      <c r="AD48" s="142" t="n"/>
      <c r="AE48" s="142" t="n"/>
      <c r="AF48" s="142" t="n"/>
      <c r="AG48" s="142" t="n"/>
      <c r="AH48" s="142" t="n"/>
      <c r="AI48" s="142" t="n"/>
      <c r="AJ48" s="142" t="n"/>
      <c r="AK48" s="142" t="n"/>
      <c r="AL48" s="142" t="n"/>
      <c r="AM48" s="142" t="n"/>
      <c r="AN48" s="142" t="n"/>
      <c r="AO48" s="142" t="n"/>
    </row>
    <row r="49" ht="20" customFormat="1" customHeight="1" s="60">
      <c r="A49" s="126" t="inlineStr">
        <is>
          <t>★</t>
        </is>
      </c>
      <c r="B49" s="126" t="n"/>
      <c r="C49" s="126" t="inlineStr">
        <is>
          <t>3.2.1</t>
        </is>
      </c>
      <c r="D49" s="136" t="inlineStr">
        <is>
          <t>开发测试数据准备</t>
        </is>
      </c>
      <c r="E49" s="127" t="n"/>
      <c r="F49" s="127" t="n"/>
      <c r="G49" s="128">
        <f>系统实现WBS!S13</f>
        <v/>
      </c>
      <c r="H49" s="129" t="n"/>
      <c r="I49" s="129" t="n"/>
      <c r="J49" s="128" t="n"/>
      <c r="K49" s="128" t="n"/>
      <c r="L49" s="128" t="n"/>
      <c r="M49" s="130" t="inlineStr">
        <is>
          <t>W19</t>
        </is>
      </c>
      <c r="N49" s="131">
        <f>N48</f>
        <v/>
      </c>
      <c r="O49" s="131">
        <f>_xlfn.WORKDAY.INTL(N49,P49-1,1,法定节假日!$B$2:$B$67)</f>
        <v/>
      </c>
      <c r="P49" s="128" t="n">
        <v>5</v>
      </c>
      <c r="Q49" s="128" t="n"/>
      <c r="R49" s="129" t="inlineStr">
        <is>
          <t>宋沛霖</t>
        </is>
      </c>
      <c r="S49" s="129" t="n"/>
      <c r="T49" s="129" t="inlineStr">
        <is>
          <t>《测试用例》《测试数据》</t>
        </is>
      </c>
      <c r="U49" s="142" t="n"/>
      <c r="V49" s="142" t="n"/>
      <c r="W49" s="142" t="n"/>
      <c r="X49" s="142" t="n"/>
      <c r="Y49" s="142" t="n"/>
      <c r="Z49" s="142" t="n"/>
      <c r="AA49" s="142" t="n"/>
      <c r="AB49" s="142" t="n"/>
      <c r="AC49" s="142" t="n"/>
      <c r="AD49" s="142" t="n"/>
      <c r="AE49" s="142" t="n"/>
      <c r="AF49" s="142" t="n"/>
      <c r="AG49" s="142" t="n"/>
      <c r="AH49" s="142" t="n"/>
      <c r="AI49" s="142" t="n"/>
      <c r="AJ49" s="142" t="n"/>
      <c r="AK49" s="142" t="n"/>
      <c r="AL49" s="142" t="n"/>
      <c r="AM49" s="142" t="n"/>
      <c r="AN49" s="142" t="n"/>
      <c r="AO49" s="142" t="n"/>
    </row>
    <row r="50" ht="20" customFormat="1" customHeight="1" s="60">
      <c r="A50" s="126" t="inlineStr">
        <is>
          <t>★</t>
        </is>
      </c>
      <c r="B50" s="126" t="n"/>
      <c r="C50" s="126" t="inlineStr">
        <is>
          <t>3.2.2</t>
        </is>
      </c>
      <c r="D50" s="136" t="inlineStr">
        <is>
          <t>DP模块-开发实现与测试确认</t>
        </is>
      </c>
      <c r="E50" s="127" t="n"/>
      <c r="F50" s="127" t="n"/>
      <c r="G50" s="128">
        <f>系统实现WBS!S17</f>
        <v/>
      </c>
      <c r="H50" s="129" t="n"/>
      <c r="I50" s="129" t="n"/>
      <c r="J50" s="128" t="n"/>
      <c r="K50" s="128" t="n"/>
      <c r="L50" s="128" t="n"/>
      <c r="M50" s="130" t="inlineStr">
        <is>
          <t>W19-W31</t>
        </is>
      </c>
      <c r="N50" s="131" t="n">
        <v>46395</v>
      </c>
      <c r="O50" s="131">
        <f>_xlfn.WORKDAY.INTL(N50,P50-1,1,法定节假日!$B$2:$B$67)</f>
        <v/>
      </c>
      <c r="P50" s="128" t="n">
        <v>52</v>
      </c>
      <c r="Q50" s="128" t="n"/>
      <c r="R50" s="129" t="inlineStr">
        <is>
          <t>文叶</t>
        </is>
      </c>
      <c r="S50" s="129" t="n"/>
      <c r="T50" s="129" t="n"/>
      <c r="U50" s="142" t="n"/>
      <c r="V50" s="142" t="n"/>
      <c r="W50" s="142" t="n"/>
      <c r="X50" s="142" t="n"/>
      <c r="Y50" s="142" t="n"/>
      <c r="Z50" s="142" t="n"/>
      <c r="AA50" s="142" t="n"/>
      <c r="AB50" s="142" t="n"/>
      <c r="AC50" s="142" t="n"/>
      <c r="AD50" s="142" t="n"/>
      <c r="AE50" s="142" t="n"/>
      <c r="AF50" s="142" t="n"/>
      <c r="AG50" s="142" t="n"/>
      <c r="AH50" s="142" t="n"/>
      <c r="AI50" s="142" t="n"/>
      <c r="AJ50" s="142" t="n"/>
      <c r="AK50" s="142" t="n"/>
      <c r="AL50" s="142" t="n"/>
      <c r="AM50" s="142" t="n"/>
      <c r="AN50" s="142" t="n"/>
      <c r="AO50" s="142" t="n"/>
    </row>
    <row r="51" outlineLevel="2" ht="20" customFormat="1" customHeight="1" s="60">
      <c r="A51" s="76" t="n"/>
      <c r="B51" s="76" t="n"/>
      <c r="C51" s="76" t="inlineStr">
        <is>
          <t>3.2.3</t>
        </is>
      </c>
      <c r="D51" s="77" t="inlineStr">
        <is>
          <t>IP模块-开发实现与测试确认</t>
        </is>
      </c>
      <c r="E51" s="78" t="n"/>
      <c r="F51" s="78" t="n"/>
      <c r="G51" s="79">
        <f>系统实现WBS!S17</f>
        <v/>
      </c>
      <c r="H51" s="75" t="n"/>
      <c r="I51" s="75" t="n"/>
      <c r="J51" s="79" t="n"/>
      <c r="K51" s="79" t="n"/>
      <c r="L51" s="79" t="n"/>
      <c r="M51" s="80" t="inlineStr">
        <is>
          <t>W23-W35</t>
        </is>
      </c>
      <c r="N51" s="144" t="n">
        <v>46419</v>
      </c>
      <c r="O51" s="144">
        <f>_xlfn.WORKDAY.INTL(N51,P51-1,1,法定节假日!$B$2:$B$67)</f>
        <v/>
      </c>
      <c r="P51" s="79" t="n">
        <v>57</v>
      </c>
      <c r="Q51" s="79" t="n"/>
      <c r="R51" s="75" t="inlineStr">
        <is>
          <t>宋沛霖</t>
        </is>
      </c>
      <c r="S51" s="75" t="n"/>
      <c r="T51" s="75" t="n"/>
      <c r="U51" s="142" t="n"/>
      <c r="V51" s="142" t="n"/>
      <c r="W51" s="142" t="n"/>
      <c r="X51" s="142" t="n"/>
      <c r="Y51" s="142" t="n"/>
      <c r="Z51" s="142" t="n"/>
      <c r="AA51" s="142" t="n"/>
      <c r="AB51" s="142" t="n"/>
      <c r="AC51" s="142" t="n"/>
      <c r="AD51" s="142" t="n"/>
      <c r="AE51" s="142" t="n"/>
      <c r="AF51" s="142" t="n"/>
      <c r="AG51" s="142" t="n"/>
      <c r="AH51" s="142" t="n"/>
      <c r="AI51" s="142" t="n"/>
      <c r="AJ51" s="142" t="n"/>
      <c r="AK51" s="142" t="n"/>
      <c r="AL51" s="142" t="n"/>
      <c r="AM51" s="142" t="n"/>
      <c r="AN51" s="142" t="n"/>
      <c r="AO51" s="142" t="n"/>
    </row>
    <row r="52" outlineLevel="2" ht="20" customHeight="1" s="2">
      <c r="A52" s="24" t="n"/>
      <c r="B52" s="24" t="n"/>
      <c r="C52" s="24" t="inlineStr">
        <is>
          <t>3.2.4</t>
        </is>
      </c>
      <c r="D52" s="33" t="inlineStr">
        <is>
          <t>APS模块-开发实现与测试确认</t>
        </is>
      </c>
      <c r="E52" s="37" t="n"/>
      <c r="F52" s="37" t="n"/>
      <c r="G52" s="79">
        <f>系统实现WBS!S17</f>
        <v/>
      </c>
      <c r="H52" s="23" t="n"/>
      <c r="I52" s="23" t="n"/>
      <c r="J52" s="34" t="n"/>
      <c r="K52" s="34" t="n"/>
      <c r="L52" s="34" t="n"/>
      <c r="M52" s="80" t="inlineStr">
        <is>
          <t>W23-W35</t>
        </is>
      </c>
      <c r="N52" s="140" t="n">
        <v>46419</v>
      </c>
      <c r="O52" s="140">
        <f>_xlfn.WORKDAY.INTL(N52,P52-1,1,法定节假日!$B$2:$B$67)</f>
        <v/>
      </c>
      <c r="P52" s="34" t="n">
        <v>57</v>
      </c>
      <c r="Q52" s="34" t="n"/>
      <c r="R52" s="23" t="inlineStr">
        <is>
          <t>AP王旭东、AS林寒欣</t>
        </is>
      </c>
      <c r="S52" s="23" t="n"/>
      <c r="T52" s="23" t="n"/>
      <c r="U52" s="135" t="n"/>
      <c r="V52" s="135" t="n"/>
      <c r="W52" s="135" t="n"/>
      <c r="X52" s="135" t="n"/>
      <c r="Y52" s="135" t="n"/>
      <c r="Z52" s="135" t="n"/>
      <c r="AA52" s="135" t="n"/>
      <c r="AB52" s="135" t="n"/>
      <c r="AC52" s="135" t="n"/>
      <c r="AD52" s="135" t="n"/>
      <c r="AE52" s="135" t="n"/>
      <c r="AF52" s="135" t="n"/>
      <c r="AG52" s="135" t="n"/>
      <c r="AH52" s="135" t="n"/>
      <c r="AI52" s="135" t="n"/>
      <c r="AJ52" s="135" t="n"/>
      <c r="AK52" s="135" t="n"/>
      <c r="AL52" s="135" t="n"/>
      <c r="AM52" s="135" t="n"/>
      <c r="AN52" s="135" t="n"/>
      <c r="AO52" s="135" t="n"/>
    </row>
    <row r="53" ht="20" customHeight="1" s="2">
      <c r="A53" s="126" t="inlineStr">
        <is>
          <t>★</t>
        </is>
      </c>
      <c r="B53" s="126" t="n"/>
      <c r="C53" s="126" t="inlineStr">
        <is>
          <t>3.2.5</t>
        </is>
      </c>
      <c r="D53" s="136" t="inlineStr">
        <is>
          <t>顾问单元测试与确认</t>
        </is>
      </c>
      <c r="E53" s="127" t="n"/>
      <c r="F53" s="127" t="n"/>
      <c r="G53" s="128">
        <f>系统实现WBS!S19</f>
        <v/>
      </c>
      <c r="H53" s="129" t="n"/>
      <c r="I53" s="129" t="n"/>
      <c r="J53" s="128" t="n"/>
      <c r="K53" s="128" t="n"/>
      <c r="L53" s="128" t="n"/>
      <c r="M53" s="130" t="inlineStr">
        <is>
          <t>W31-W35</t>
        </is>
      </c>
      <c r="N53" s="131" t="n">
        <v>46478</v>
      </c>
      <c r="O53" s="131">
        <f>_xlfn.WORKDAY.INTL(N53,P53-1,1,法定节假日!$B$2:$B$67)</f>
        <v/>
      </c>
      <c r="P53" s="128" t="n">
        <v>21</v>
      </c>
      <c r="Q53" s="128" t="n"/>
      <c r="R53" s="129" t="inlineStr">
        <is>
          <t>陈本鸿</t>
        </is>
      </c>
      <c r="S53" s="129" t="n"/>
      <c r="T53" s="129" t="inlineStr">
        <is>
          <t>《测试报告》</t>
        </is>
      </c>
      <c r="U53" s="135" t="n"/>
      <c r="V53" s="135" t="n"/>
      <c r="W53" s="135" t="n"/>
      <c r="X53" s="135" t="n"/>
      <c r="Y53" s="135" t="n"/>
      <c r="Z53" s="135" t="n"/>
      <c r="AA53" s="135" t="n"/>
      <c r="AB53" s="135" t="n"/>
      <c r="AC53" s="135" t="n"/>
      <c r="AD53" s="135" t="n"/>
      <c r="AE53" s="135" t="n"/>
      <c r="AF53" s="135" t="n"/>
      <c r="AG53" s="135" t="n"/>
      <c r="AH53" s="135" t="n"/>
      <c r="AI53" s="135" t="n"/>
      <c r="AJ53" s="135" t="n"/>
      <c r="AK53" s="135" t="n"/>
      <c r="AL53" s="135" t="n"/>
      <c r="AM53" s="135" t="n"/>
      <c r="AN53" s="135" t="n"/>
      <c r="AO53" s="135" t="n"/>
    </row>
    <row r="54" ht="20" customHeight="1" s="2">
      <c r="A54" s="126" t="inlineStr">
        <is>
          <t>★</t>
        </is>
      </c>
      <c r="B54" s="126" t="n"/>
      <c r="C54" s="126" t="inlineStr">
        <is>
          <t>3.2.6</t>
        </is>
      </c>
      <c r="D54" s="129" t="inlineStr">
        <is>
          <t>用户单元测试与确认</t>
        </is>
      </c>
      <c r="E54" s="127" t="n"/>
      <c r="F54" s="127" t="n"/>
      <c r="G54" s="128">
        <f>系统实现WBS!S21</f>
        <v/>
      </c>
      <c r="H54" s="129" t="n"/>
      <c r="I54" s="129" t="n"/>
      <c r="J54" s="128" t="n"/>
      <c r="K54" s="128" t="n"/>
      <c r="L54" s="128" t="n"/>
      <c r="M54" s="130" t="inlineStr">
        <is>
          <t>W31-W35</t>
        </is>
      </c>
      <c r="N54" s="131" t="n">
        <v>46478</v>
      </c>
      <c r="O54" s="131">
        <f>_xlfn.WORKDAY.INTL(N54,P54-1,1,法定节假日!$B$2:$B$67)</f>
        <v/>
      </c>
      <c r="P54" s="128" t="n">
        <v>21</v>
      </c>
      <c r="Q54" s="128" t="n"/>
      <c r="R54" s="129" t="inlineStr">
        <is>
          <t>陈本鸿</t>
        </is>
      </c>
      <c r="S54" s="129" t="n"/>
      <c r="T54" s="129" t="inlineStr">
        <is>
          <t>《测试报告》</t>
        </is>
      </c>
      <c r="U54" s="135" t="n"/>
      <c r="V54" s="135" t="n"/>
      <c r="W54" s="135" t="n"/>
      <c r="X54" s="135" t="n"/>
      <c r="Y54" s="135" t="n"/>
      <c r="Z54" s="135" t="n"/>
      <c r="AA54" s="135" t="n"/>
      <c r="AB54" s="135" t="n"/>
      <c r="AC54" s="135" t="n"/>
      <c r="AD54" s="135" t="n"/>
      <c r="AE54" s="135" t="n"/>
      <c r="AF54" s="135" t="n"/>
      <c r="AG54" s="135" t="n"/>
      <c r="AH54" s="135" t="n"/>
      <c r="AI54" s="135" t="n"/>
      <c r="AJ54" s="135" t="n"/>
      <c r="AK54" s="135" t="n"/>
      <c r="AL54" s="135" t="n"/>
      <c r="AM54" s="135" t="n"/>
      <c r="AN54" s="135" t="n"/>
      <c r="AO54" s="135" t="n"/>
    </row>
    <row r="55" outlineLevel="1" ht="20" customHeight="1" s="2">
      <c r="A55" s="24" t="n"/>
      <c r="B55" s="17" t="n">
        <v>3.3</v>
      </c>
      <c r="C55" s="17" t="n"/>
      <c r="D55" s="141" t="inlineStr">
        <is>
          <t>用户集成测试</t>
        </is>
      </c>
      <c r="E55" s="22" t="n"/>
      <c r="F55" s="22" t="n"/>
      <c r="G55" s="20">
        <f>系统实现WBS!S25</f>
        <v/>
      </c>
      <c r="H55" s="19" t="n"/>
      <c r="I55" s="19" t="n"/>
      <c r="J55" s="20" t="n"/>
      <c r="K55" s="20" t="n"/>
      <c r="L55" s="20" t="n"/>
      <c r="M55" s="86" t="inlineStr">
        <is>
          <t>W19-W35</t>
        </is>
      </c>
      <c r="N55" s="134" t="n">
        <v>46391</v>
      </c>
      <c r="O55" s="134">
        <f>_xlfn.WORKDAY.INTL(N55,P55-1,1,法定节假日!$B$2:$B$67)</f>
        <v/>
      </c>
      <c r="P55" s="20" t="n">
        <v>77</v>
      </c>
      <c r="Q55" s="20" t="n"/>
      <c r="R55" s="19" t="inlineStr">
        <is>
          <t>陈本鸿</t>
        </is>
      </c>
      <c r="S55" s="19" t="n"/>
      <c r="T55" s="19" t="n"/>
      <c r="U55" s="135" t="n"/>
      <c r="V55" s="135" t="n"/>
      <c r="W55" s="135" t="n"/>
      <c r="X55" s="135" t="n"/>
      <c r="Y55" s="135" t="n"/>
      <c r="Z55" s="135" t="n"/>
      <c r="AA55" s="135" t="n"/>
      <c r="AB55" s="135" t="n"/>
      <c r="AC55" s="135" t="n"/>
      <c r="AD55" s="135" t="n"/>
      <c r="AE55" s="135" t="n"/>
      <c r="AF55" s="135" t="n"/>
      <c r="AG55" s="135" t="n"/>
      <c r="AH55" s="135" t="n"/>
      <c r="AI55" s="135" t="n"/>
      <c r="AJ55" s="135" t="n"/>
      <c r="AK55" s="135" t="n"/>
      <c r="AL55" s="135" t="n"/>
      <c r="AM55" s="135" t="n"/>
      <c r="AN55" s="135" t="n"/>
      <c r="AO55" s="135" t="n"/>
    </row>
    <row r="56" ht="20" customHeight="1" s="2">
      <c r="A56" s="126" t="inlineStr">
        <is>
          <t>★</t>
        </is>
      </c>
      <c r="B56" s="126" t="n"/>
      <c r="C56" s="126" t="inlineStr">
        <is>
          <t>3.3.1</t>
        </is>
      </c>
      <c r="D56" s="136" t="inlineStr">
        <is>
          <t>关键用户培训考核</t>
        </is>
      </c>
      <c r="E56" s="127" t="n"/>
      <c r="F56" s="127" t="n"/>
      <c r="G56" s="128">
        <f>系统实现WBS!S26</f>
        <v/>
      </c>
      <c r="H56" s="129" t="n"/>
      <c r="I56" s="129" t="n"/>
      <c r="J56" s="128" t="n"/>
      <c r="K56" s="128" t="n"/>
      <c r="L56" s="128" t="n"/>
      <c r="M56" s="130" t="inlineStr">
        <is>
          <t>W19</t>
        </is>
      </c>
      <c r="N56" s="131">
        <f>N55</f>
        <v/>
      </c>
      <c r="O56" s="131">
        <f>_xlfn.WORKDAY.INTL(N56,P56-1,1,法定节假日!$B$2:$B$67)</f>
        <v/>
      </c>
      <c r="P56" s="128" t="n">
        <v>2</v>
      </c>
      <c r="Q56" s="128" t="n"/>
      <c r="R56" s="129" t="inlineStr">
        <is>
          <t>陈本鸿</t>
        </is>
      </c>
      <c r="S56" s="129" t="n"/>
      <c r="T56" s="129" t="n"/>
      <c r="U56" s="135" t="n"/>
      <c r="V56" s="135" t="n"/>
      <c r="W56" s="135" t="n"/>
      <c r="X56" s="135" t="n"/>
      <c r="Y56" s="135" t="n"/>
      <c r="Z56" s="135" t="n"/>
      <c r="AA56" s="135" t="n"/>
      <c r="AB56" s="135" t="n"/>
      <c r="AC56" s="135" t="n"/>
      <c r="AD56" s="135" t="n"/>
      <c r="AE56" s="135" t="n"/>
      <c r="AF56" s="135" t="n"/>
      <c r="AG56" s="135" t="n"/>
      <c r="AH56" s="135" t="n"/>
      <c r="AI56" s="135" t="n"/>
      <c r="AJ56" s="135" t="n"/>
      <c r="AK56" s="135" t="n"/>
      <c r="AL56" s="135" t="n"/>
      <c r="AM56" s="135" t="n"/>
      <c r="AN56" s="135" t="n"/>
      <c r="AO56" s="135" t="n"/>
    </row>
    <row r="57" ht="20" customHeight="1" s="2">
      <c r="A57" s="126" t="inlineStr">
        <is>
          <t>★</t>
        </is>
      </c>
      <c r="B57" s="126" t="n"/>
      <c r="C57" s="126" t="inlineStr">
        <is>
          <t>3.3.2</t>
        </is>
      </c>
      <c r="D57" s="136" t="inlineStr">
        <is>
          <t>DP模块-业务场景拉通测试</t>
        </is>
      </c>
      <c r="E57" s="127" t="n"/>
      <c r="F57" s="127" t="n"/>
      <c r="G57" s="128">
        <f>系统实现WBS!S29</f>
        <v/>
      </c>
      <c r="H57" s="129" t="n"/>
      <c r="I57" s="129" t="n"/>
      <c r="J57" s="128" t="n"/>
      <c r="K57" s="128" t="n"/>
      <c r="L57" s="128" t="n"/>
      <c r="M57" s="130" t="inlineStr">
        <is>
          <t>W19-W31</t>
        </is>
      </c>
      <c r="N57" s="131" t="n">
        <v>46395</v>
      </c>
      <c r="O57" s="131">
        <f>_xlfn.WORKDAY.INTL(N57,P57-1,1,法定节假日!$B$2:$B$67)</f>
        <v/>
      </c>
      <c r="P57" s="128" t="n">
        <v>52</v>
      </c>
      <c r="Q57" s="128" t="n"/>
      <c r="R57" s="129" t="inlineStr">
        <is>
          <t>文叶</t>
        </is>
      </c>
      <c r="S57" s="129" t="n"/>
      <c r="T57" s="129" t="inlineStr">
        <is>
          <t>《场景测试用例》-DP模块、《测试报告》-DP模块</t>
        </is>
      </c>
      <c r="U57" s="135" t="n"/>
      <c r="V57" s="135" t="n"/>
      <c r="W57" s="135" t="n"/>
      <c r="X57" s="135" t="n"/>
      <c r="Y57" s="135" t="n"/>
      <c r="Z57" s="135" t="n"/>
      <c r="AA57" s="135" t="n"/>
      <c r="AB57" s="135" t="n"/>
      <c r="AC57" s="135" t="n"/>
      <c r="AD57" s="135" t="n"/>
      <c r="AE57" s="135" t="n"/>
      <c r="AF57" s="135" t="n"/>
      <c r="AG57" s="135" t="n"/>
      <c r="AH57" s="135" t="n"/>
      <c r="AI57" s="135" t="n"/>
      <c r="AJ57" s="135" t="n"/>
      <c r="AK57" s="135" t="n"/>
      <c r="AL57" s="135" t="n"/>
      <c r="AM57" s="135" t="n"/>
      <c r="AN57" s="135" t="n"/>
      <c r="AO57" s="135" t="n"/>
    </row>
    <row r="58" outlineLevel="2" ht="20" customHeight="1" s="2">
      <c r="A58" s="24" t="n"/>
      <c r="B58" s="24" t="n"/>
      <c r="C58" s="24" t="inlineStr">
        <is>
          <t>3.3.3</t>
        </is>
      </c>
      <c r="D58" s="33" t="inlineStr">
        <is>
          <t>IP模块-业务场景拉通测试</t>
        </is>
      </c>
      <c r="E58" s="37" t="n"/>
      <c r="F58" s="37" t="n"/>
      <c r="G58" s="34">
        <f>系统实现WBS!S29</f>
        <v/>
      </c>
      <c r="H58" s="23" t="n"/>
      <c r="I58" s="23" t="n"/>
      <c r="J58" s="34" t="n"/>
      <c r="K58" s="34" t="n"/>
      <c r="L58" s="34" t="n"/>
      <c r="M58" s="80" t="inlineStr">
        <is>
          <t>W23-W35</t>
        </is>
      </c>
      <c r="N58" s="144" t="n">
        <v>46419</v>
      </c>
      <c r="O58" s="140">
        <f>_xlfn.WORKDAY.INTL(N58,P58-1,1,法定节假日!$B$2:$B$67)</f>
        <v/>
      </c>
      <c r="P58" s="79" t="n">
        <v>57</v>
      </c>
      <c r="Q58" s="34" t="n"/>
      <c r="R58" s="23" t="inlineStr">
        <is>
          <t>宋沛霖</t>
        </is>
      </c>
      <c r="S58" s="23" t="n"/>
      <c r="T58" s="23" t="inlineStr">
        <is>
          <t>《场景测试用例》-IP模块、《测试报告》-IP模块</t>
        </is>
      </c>
      <c r="U58" s="135" t="n"/>
      <c r="V58" s="135" t="n"/>
      <c r="W58" s="135" t="n"/>
      <c r="X58" s="135" t="n"/>
      <c r="Y58" s="135" t="n"/>
      <c r="Z58" s="135" t="n"/>
      <c r="AA58" s="135" t="n"/>
      <c r="AB58" s="135" t="n"/>
      <c r="AC58" s="135" t="n"/>
      <c r="AD58" s="135" t="n"/>
      <c r="AE58" s="135" t="n"/>
      <c r="AF58" s="135" t="n"/>
      <c r="AG58" s="135" t="n"/>
      <c r="AH58" s="135" t="n"/>
      <c r="AI58" s="135" t="n"/>
      <c r="AJ58" s="135" t="n"/>
      <c r="AK58" s="135" t="n"/>
      <c r="AL58" s="135" t="n"/>
      <c r="AM58" s="135" t="n"/>
      <c r="AN58" s="135" t="n"/>
      <c r="AO58" s="135" t="n"/>
    </row>
    <row r="59" outlineLevel="2" ht="20" customHeight="1" s="2">
      <c r="A59" s="24" t="n"/>
      <c r="B59" s="24" t="n"/>
      <c r="C59" s="24" t="inlineStr">
        <is>
          <t>3.3.4</t>
        </is>
      </c>
      <c r="D59" s="33" t="inlineStr">
        <is>
          <t>APS模块-业务场景拉通测试</t>
        </is>
      </c>
      <c r="E59" s="37" t="n"/>
      <c r="F59" s="37" t="n"/>
      <c r="G59" s="34">
        <f>系统实现WBS!S29</f>
        <v/>
      </c>
      <c r="H59" s="23" t="n"/>
      <c r="I59" s="23" t="n"/>
      <c r="J59" s="34" t="n"/>
      <c r="K59" s="34" t="n"/>
      <c r="L59" s="34" t="n"/>
      <c r="M59" s="80" t="inlineStr">
        <is>
          <t>W23-W35</t>
        </is>
      </c>
      <c r="N59" s="140" t="n">
        <v>46419</v>
      </c>
      <c r="O59" s="140">
        <f>_xlfn.WORKDAY.INTL(N59,P59-1,1,法定节假日!$B$2:$B$67)</f>
        <v/>
      </c>
      <c r="P59" s="34" t="n">
        <v>57</v>
      </c>
      <c r="Q59" s="34" t="n"/>
      <c r="R59" s="23" t="inlineStr">
        <is>
          <t>AP王旭东、AS林寒欣</t>
        </is>
      </c>
      <c r="S59" s="23" t="n"/>
      <c r="T59" s="23" t="inlineStr">
        <is>
          <t>《场景测试用例》-APS模块、《测试报告》-APS模块</t>
        </is>
      </c>
      <c r="U59" s="135" t="n"/>
      <c r="V59" s="135" t="n"/>
      <c r="W59" s="135" t="n"/>
      <c r="X59" s="135" t="n"/>
      <c r="Y59" s="135" t="n"/>
      <c r="Z59" s="135" t="n"/>
      <c r="AA59" s="135" t="n"/>
      <c r="AB59" s="135" t="n"/>
      <c r="AC59" s="135" t="n"/>
      <c r="AD59" s="135" t="n"/>
      <c r="AE59" s="135" t="n"/>
      <c r="AF59" s="135" t="n"/>
      <c r="AG59" s="135" t="n"/>
      <c r="AH59" s="135" t="n"/>
      <c r="AI59" s="135" t="n"/>
      <c r="AJ59" s="135" t="n"/>
      <c r="AK59" s="135" t="n"/>
      <c r="AL59" s="135" t="n"/>
      <c r="AM59" s="135" t="n"/>
      <c r="AN59" s="135" t="n"/>
      <c r="AO59" s="135" t="n"/>
    </row>
    <row r="60" ht="20" customHeight="1" s="2">
      <c r="A60" s="126" t="inlineStr">
        <is>
          <t>★</t>
        </is>
      </c>
      <c r="B60" s="126" t="n"/>
      <c r="C60" s="126" t="inlineStr">
        <is>
          <t>3.3.5</t>
        </is>
      </c>
      <c r="D60" s="136" t="inlineStr">
        <is>
          <t>系统联调测试（全量）</t>
        </is>
      </c>
      <c r="E60" s="127" t="n"/>
      <c r="F60" s="127" t="n"/>
      <c r="G60" s="128">
        <f>系统实现WBS!S35</f>
        <v/>
      </c>
      <c r="H60" s="129" t="n"/>
      <c r="I60" s="129" t="n"/>
      <c r="J60" s="128" t="n"/>
      <c r="K60" s="128" t="n"/>
      <c r="L60" s="128" t="n"/>
      <c r="M60" s="130" t="inlineStr">
        <is>
          <t>W34-W35</t>
        </is>
      </c>
      <c r="N60" s="131" t="n">
        <v>46496</v>
      </c>
      <c r="O60" s="131">
        <f>_xlfn.WORKDAY.INTL(N60,P60-1,1,法定节假日!$B$2:$B$67)</f>
        <v/>
      </c>
      <c r="P60" s="128" t="n">
        <v>10</v>
      </c>
      <c r="Q60" s="128" t="n"/>
      <c r="R60" s="129" t="inlineStr">
        <is>
          <t>宋沛霖</t>
        </is>
      </c>
      <c r="S60" s="129" t="n"/>
      <c r="T60" s="129" t="inlineStr">
        <is>
          <t>《测试报告》</t>
        </is>
      </c>
      <c r="U60" s="135" t="n"/>
      <c r="V60" s="135" t="n"/>
      <c r="W60" s="135" t="n"/>
      <c r="X60" s="135" t="n"/>
      <c r="Y60" s="135" t="n"/>
      <c r="Z60" s="135" t="n"/>
      <c r="AA60" s="135" t="n"/>
      <c r="AB60" s="135" t="n"/>
      <c r="AC60" s="135" t="n"/>
      <c r="AD60" s="135" t="n"/>
      <c r="AE60" s="135" t="n"/>
      <c r="AF60" s="135" t="n"/>
      <c r="AG60" s="135" t="n"/>
      <c r="AH60" s="135" t="n"/>
      <c r="AI60" s="135" t="n"/>
      <c r="AJ60" s="135" t="n"/>
      <c r="AK60" s="135" t="n"/>
      <c r="AL60" s="135" t="n"/>
      <c r="AM60" s="135" t="n"/>
      <c r="AN60" s="135" t="n"/>
      <c r="AO60" s="135" t="n"/>
    </row>
    <row r="61" ht="20" customHeight="1" s="2">
      <c r="A61" s="126" t="inlineStr">
        <is>
          <t>★</t>
        </is>
      </c>
      <c r="B61" s="126" t="n"/>
      <c r="C61" s="126" t="inlineStr">
        <is>
          <t>3.3.6</t>
        </is>
      </c>
      <c r="D61" s="136" t="inlineStr">
        <is>
          <t>UAT功能交付确认</t>
        </is>
      </c>
      <c r="E61" s="127" t="n"/>
      <c r="F61" s="127" t="n"/>
      <c r="G61" s="128">
        <f>系统实现WBS!S41</f>
        <v/>
      </c>
      <c r="H61" s="129" t="n"/>
      <c r="I61" s="128" t="inlineStr">
        <is>
          <t>√</t>
        </is>
      </c>
      <c r="J61" s="128" t="inlineStr">
        <is>
          <t>√</t>
        </is>
      </c>
      <c r="K61" s="128" t="inlineStr">
        <is>
          <t>√</t>
        </is>
      </c>
      <c r="L61" s="128" t="inlineStr">
        <is>
          <t>√</t>
        </is>
      </c>
      <c r="M61" s="130" t="inlineStr">
        <is>
          <t>W34-W35</t>
        </is>
      </c>
      <c r="N61" s="131" t="n">
        <v>46496</v>
      </c>
      <c r="O61" s="131">
        <f>_xlfn.WORKDAY.INTL(N61,P61-1,1,法定节假日!$B$2:$B$67)</f>
        <v/>
      </c>
      <c r="P61" s="128" t="n">
        <v>10</v>
      </c>
      <c r="Q61" s="128" t="n"/>
      <c r="R61" s="129" t="inlineStr">
        <is>
          <t>周年根</t>
        </is>
      </c>
      <c r="S61" s="129" t="n"/>
      <c r="T61" s="129" t="inlineStr">
        <is>
          <t>《功能交付清单》</t>
        </is>
      </c>
      <c r="U61" s="135" t="n"/>
      <c r="V61" s="135" t="n"/>
      <c r="W61" s="135" t="n"/>
      <c r="X61" s="135" t="n"/>
      <c r="Y61" s="135" t="n"/>
      <c r="Z61" s="135" t="n"/>
      <c r="AA61" s="135" t="n"/>
      <c r="AB61" s="135" t="n"/>
      <c r="AC61" s="135" t="n"/>
      <c r="AD61" s="135" t="n"/>
      <c r="AE61" s="135" t="n"/>
      <c r="AF61" s="135" t="n"/>
      <c r="AG61" s="135" t="n"/>
      <c r="AH61" s="135" t="n"/>
      <c r="AI61" s="135" t="n"/>
      <c r="AJ61" s="135" t="n"/>
      <c r="AK61" s="135" t="n"/>
      <c r="AL61" s="135" t="n"/>
      <c r="AM61" s="135" t="n"/>
      <c r="AN61" s="135" t="n"/>
      <c r="AO61" s="135" t="n"/>
    </row>
    <row r="62" ht="20" customHeight="1" s="2">
      <c r="A62" s="126" t="inlineStr">
        <is>
          <t>★</t>
        </is>
      </c>
      <c r="B62" s="126" t="n"/>
      <c r="C62" s="126" t="inlineStr">
        <is>
          <t>3.3.7</t>
        </is>
      </c>
      <c r="D62" s="136" t="inlineStr">
        <is>
          <t>UAT系统环境演示评审</t>
        </is>
      </c>
      <c r="E62" s="127" t="n"/>
      <c r="F62" s="127" t="n"/>
      <c r="G62" s="128">
        <f>系统实现WBS!S43</f>
        <v/>
      </c>
      <c r="H62" s="129" t="n"/>
      <c r="I62" s="128" t="n"/>
      <c r="J62" s="128" t="inlineStr">
        <is>
          <t>√</t>
        </is>
      </c>
      <c r="K62" s="128" t="n"/>
      <c r="L62" s="128" t="inlineStr">
        <is>
          <t>√</t>
        </is>
      </c>
      <c r="M62" s="130" t="inlineStr">
        <is>
          <t>W34-W35</t>
        </is>
      </c>
      <c r="N62" s="131" t="n">
        <v>46496</v>
      </c>
      <c r="O62" s="131">
        <f>_xlfn.WORKDAY.INTL(N62,P62-1,1,法定节假日!$B$2:$B$67)</f>
        <v/>
      </c>
      <c r="P62" s="128" t="n">
        <v>10</v>
      </c>
      <c r="Q62" s="128" t="n"/>
      <c r="R62" s="129" t="inlineStr">
        <is>
          <t>陈本鸿</t>
        </is>
      </c>
      <c r="S62" s="129" t="n"/>
      <c r="T62" s="129" t="n"/>
      <c r="U62" s="135" t="n"/>
      <c r="V62" s="135" t="n"/>
      <c r="W62" s="135" t="n"/>
      <c r="X62" s="135" t="n"/>
      <c r="Y62" s="135" t="n"/>
      <c r="Z62" s="135" t="n"/>
      <c r="AA62" s="135" t="n"/>
      <c r="AB62" s="135" t="n"/>
      <c r="AC62" s="135" t="n"/>
      <c r="AD62" s="135" t="n"/>
      <c r="AE62" s="135" t="n"/>
      <c r="AF62" s="135" t="n"/>
      <c r="AG62" s="135" t="n"/>
      <c r="AH62" s="135" t="n"/>
      <c r="AI62" s="135" t="n"/>
      <c r="AJ62" s="135" t="n"/>
      <c r="AK62" s="135" t="n"/>
      <c r="AL62" s="135" t="n"/>
      <c r="AM62" s="135" t="n"/>
      <c r="AN62" s="135" t="n"/>
      <c r="AO62" s="135" t="n"/>
    </row>
    <row r="63" ht="20" customFormat="1" customHeight="1" s="59">
      <c r="A63" s="126" t="n">
        <v>4</v>
      </c>
      <c r="B63" s="126" t="n"/>
      <c r="C63" s="126" t="n"/>
      <c r="D63" s="126" t="inlineStr">
        <is>
          <t>UAT/试运行</t>
        </is>
      </c>
      <c r="E63" s="127" t="n"/>
      <c r="F63" s="127" t="n"/>
      <c r="G63" s="128">
        <f>IF(COUNTIF(G64:G83,"未完成")=COUNTA(G64:G83),"未完成",IF(COUNTIF(G64:G83,"已完成")=COUNTA(G64:G83),"已完成","进行中"))</f>
        <v/>
      </c>
      <c r="H63" s="129" t="n"/>
      <c r="I63" s="129" t="n"/>
      <c r="J63" s="128" t="n"/>
      <c r="K63" s="128" t="n"/>
      <c r="L63" s="128" t="n"/>
      <c r="M63" s="130" t="inlineStr">
        <is>
          <t>W31-W53</t>
        </is>
      </c>
      <c r="N63" s="131" t="n">
        <v>46478</v>
      </c>
      <c r="O63" s="131">
        <f>_xlfn.WORKDAY.INTL(N63,P63-1,1,法定节假日!$B$2:$B$67)</f>
        <v/>
      </c>
      <c r="P63" s="128" t="n">
        <v>104</v>
      </c>
      <c r="Q63" s="128" t="n"/>
      <c r="R63" s="129" t="inlineStr">
        <is>
          <t>周年根</t>
        </is>
      </c>
      <c r="S63" s="129" t="n"/>
      <c r="T63" s="129" t="n"/>
      <c r="U63" s="135" t="n"/>
      <c r="V63" s="135" t="n"/>
      <c r="W63" s="135" t="n"/>
      <c r="X63" s="135" t="n"/>
      <c r="Y63" s="135" t="n"/>
      <c r="Z63" s="135" t="n"/>
      <c r="AA63" s="135" t="n"/>
      <c r="AB63" s="135" t="n"/>
      <c r="AC63" s="135" t="n"/>
      <c r="AD63" s="135" t="n"/>
      <c r="AE63" s="135" t="n"/>
      <c r="AF63" s="135" t="n"/>
      <c r="AG63" s="135" t="n"/>
      <c r="AH63" s="135" t="n"/>
      <c r="AI63" s="135" t="n"/>
      <c r="AJ63" s="135" t="n"/>
      <c r="AK63" s="135" t="n"/>
      <c r="AL63" s="135" t="n"/>
      <c r="AM63" s="135" t="n"/>
      <c r="AN63" s="135" t="n"/>
      <c r="AO63" s="135" t="n"/>
    </row>
    <row r="64" outlineLevel="1" ht="20" customHeight="1" s="2">
      <c r="A64" s="24" t="n"/>
      <c r="B64" s="17" t="n">
        <v>4.1</v>
      </c>
      <c r="C64" s="17" t="n"/>
      <c r="D64" s="141" t="inlineStr">
        <is>
          <t>UAT/试运行</t>
        </is>
      </c>
      <c r="E64" s="22" t="n"/>
      <c r="F64" s="22" t="n"/>
      <c r="G64" s="20">
        <f>UAT试运行WBS!S3</f>
        <v/>
      </c>
      <c r="H64" s="19" t="n"/>
      <c r="I64" s="19" t="n"/>
      <c r="J64" s="20" t="n"/>
      <c r="K64" s="20" t="n"/>
      <c r="L64" s="20" t="n"/>
      <c r="M64" s="42" t="inlineStr">
        <is>
          <t>W31-W53</t>
        </is>
      </c>
      <c r="N64" s="134">
        <f>N63</f>
        <v/>
      </c>
      <c r="O64" s="134">
        <f>_xlfn.WORKDAY.INTL(N64,P64-1,1,法定节假日!$B$2:$B$67)</f>
        <v/>
      </c>
      <c r="P64" s="20" t="n">
        <v>104</v>
      </c>
      <c r="Q64" s="20" t="n"/>
      <c r="R64" s="19" t="inlineStr">
        <is>
          <t>陈本鸿</t>
        </is>
      </c>
      <c r="S64" s="19" t="n"/>
      <c r="T64" s="19" t="n"/>
      <c r="U64" s="135" t="n"/>
      <c r="V64" s="135" t="n"/>
      <c r="W64" s="135" t="n"/>
      <c r="X64" s="135" t="n"/>
      <c r="Y64" s="135" t="n"/>
      <c r="Z64" s="135" t="n"/>
      <c r="AA64" s="135" t="n"/>
      <c r="AB64" s="135" t="n"/>
      <c r="AC64" s="135" t="n"/>
      <c r="AD64" s="135" t="n"/>
      <c r="AE64" s="135" t="n"/>
      <c r="AF64" s="135" t="n"/>
      <c r="AG64" s="135" t="n"/>
      <c r="AH64" s="135" t="n"/>
      <c r="AI64" s="135" t="n"/>
      <c r="AJ64" s="135" t="n"/>
      <c r="AK64" s="135" t="n"/>
      <c r="AL64" s="135" t="n"/>
      <c r="AM64" s="135" t="n"/>
      <c r="AN64" s="135" t="n"/>
      <c r="AO64" s="135" t="n"/>
    </row>
    <row r="65" ht="20" customHeight="1" s="2">
      <c r="A65" s="126" t="inlineStr">
        <is>
          <t>★</t>
        </is>
      </c>
      <c r="B65" s="126" t="n"/>
      <c r="C65" s="126" t="inlineStr">
        <is>
          <t>4.1.1</t>
        </is>
      </c>
      <c r="D65" s="136" t="inlineStr">
        <is>
          <t>试运行计划制定</t>
        </is>
      </c>
      <c r="E65" s="127" t="n"/>
      <c r="F65" s="127" t="n"/>
      <c r="G65" s="128">
        <f>UAT试运行WBS!S4</f>
        <v/>
      </c>
      <c r="H65" s="129" t="n"/>
      <c r="I65" s="129" t="n"/>
      <c r="J65" s="128" t="inlineStr">
        <is>
          <t>√</t>
        </is>
      </c>
      <c r="K65" s="128" t="inlineStr">
        <is>
          <t>√</t>
        </is>
      </c>
      <c r="L65" s="128" t="inlineStr">
        <is>
          <t>√</t>
        </is>
      </c>
      <c r="M65" s="130" t="inlineStr">
        <is>
          <t>W31</t>
        </is>
      </c>
      <c r="N65" s="131">
        <f>N64</f>
        <v/>
      </c>
      <c r="O65" s="131">
        <f>_xlfn.WORKDAY.INTL(N65,P65-1,1,法定节假日!$B$2:$B$67)</f>
        <v/>
      </c>
      <c r="P65" s="128" t="n">
        <v>2</v>
      </c>
      <c r="Q65" s="128" t="n"/>
      <c r="R65" s="129" t="inlineStr">
        <is>
          <t>陈本鸿</t>
        </is>
      </c>
      <c r="S65" s="129" t="n"/>
      <c r="T65" s="129" t="n"/>
      <c r="U65" s="135" t="n"/>
      <c r="V65" s="135" t="n"/>
      <c r="W65" s="135" t="n"/>
      <c r="X65" s="135" t="n"/>
      <c r="Y65" s="135" t="n"/>
      <c r="Z65" s="135" t="n"/>
      <c r="AA65" s="135" t="n"/>
      <c r="AB65" s="135" t="n"/>
      <c r="AC65" s="135" t="n"/>
      <c r="AD65" s="135" t="n"/>
      <c r="AE65" s="135" t="n"/>
      <c r="AF65" s="135" t="n"/>
      <c r="AG65" s="135" t="n"/>
      <c r="AH65" s="135" t="n"/>
      <c r="AI65" s="135" t="n"/>
      <c r="AJ65" s="135" t="n"/>
      <c r="AK65" s="135" t="n"/>
      <c r="AL65" s="135" t="n"/>
      <c r="AM65" s="135" t="n"/>
      <c r="AN65" s="135" t="n"/>
      <c r="AO65" s="135" t="n"/>
    </row>
    <row r="66" ht="20" customHeight="1" s="2">
      <c r="A66" s="126" t="inlineStr">
        <is>
          <t>★</t>
        </is>
      </c>
      <c r="B66" s="126" t="n"/>
      <c r="C66" s="126" t="inlineStr">
        <is>
          <t>4.1.2</t>
        </is>
      </c>
      <c r="D66" s="136" t="inlineStr">
        <is>
          <t>全量数据测试准备</t>
        </is>
      </c>
      <c r="E66" s="127" t="n"/>
      <c r="F66" s="127" t="n"/>
      <c r="G66" s="128">
        <f>UAT试运行WBS!S6</f>
        <v/>
      </c>
      <c r="H66" s="129" t="n"/>
      <c r="I66" s="129" t="n"/>
      <c r="J66" s="128" t="n"/>
      <c r="K66" s="128" t="n"/>
      <c r="L66" s="128" t="n"/>
      <c r="M66" s="130" t="inlineStr">
        <is>
          <t>W32</t>
        </is>
      </c>
      <c r="N66" s="131" t="n">
        <v>46483</v>
      </c>
      <c r="O66" s="131">
        <f>_xlfn.WORKDAY.INTL(N66,P66-1,1,法定节假日!$B$2:$B$67)</f>
        <v/>
      </c>
      <c r="P66" s="128" t="n">
        <v>4</v>
      </c>
      <c r="Q66" s="128" t="n"/>
      <c r="R66" s="129" t="inlineStr">
        <is>
          <t>宋沛霖</t>
        </is>
      </c>
      <c r="S66" s="129" t="n"/>
      <c r="T66" s="129" t="inlineStr">
        <is>
          <t>《场景测试用例》</t>
        </is>
      </c>
      <c r="U66" s="135" t="n"/>
      <c r="V66" s="135" t="n"/>
      <c r="W66" s="135" t="n"/>
      <c r="X66" s="135" t="n"/>
      <c r="Y66" s="135" t="n"/>
      <c r="Z66" s="135" t="n"/>
      <c r="AA66" s="135" t="n"/>
      <c r="AB66" s="135" t="n"/>
      <c r="AC66" s="135" t="n"/>
      <c r="AD66" s="135" t="n"/>
      <c r="AE66" s="135" t="n"/>
      <c r="AF66" s="135" t="n"/>
      <c r="AG66" s="135" t="n"/>
      <c r="AH66" s="135" t="n"/>
      <c r="AI66" s="135" t="n"/>
      <c r="AJ66" s="135" t="n"/>
      <c r="AK66" s="135" t="n"/>
      <c r="AL66" s="135" t="n"/>
      <c r="AM66" s="135" t="n"/>
      <c r="AN66" s="135" t="n"/>
      <c r="AO66" s="135" t="n"/>
    </row>
    <row r="67" ht="20" customHeight="1" s="2">
      <c r="A67" s="126" t="inlineStr">
        <is>
          <t>★</t>
        </is>
      </c>
      <c r="B67" s="126" t="n"/>
      <c r="C67" s="126" t="inlineStr">
        <is>
          <t>4.1.3</t>
        </is>
      </c>
      <c r="D67" s="136" t="inlineStr">
        <is>
          <t>DP模块-系统试运行及确认</t>
        </is>
      </c>
      <c r="E67" s="127" t="n"/>
      <c r="F67" s="127" t="n"/>
      <c r="G67" s="128">
        <f>UAT试运行WBS!S11</f>
        <v/>
      </c>
      <c r="H67" s="129" t="n"/>
      <c r="I67" s="129" t="n"/>
      <c r="J67" s="128" t="n"/>
      <c r="K67" s="128" t="n"/>
      <c r="L67" s="128" t="n"/>
      <c r="M67" s="130" t="inlineStr">
        <is>
          <t>W31-W48</t>
        </is>
      </c>
      <c r="N67" s="131" t="n">
        <v>46478</v>
      </c>
      <c r="O67" s="131">
        <f>_xlfn.WORKDAY.INTL(N67,P67-1,1,法定节假日!$B$2:$B$67)</f>
        <v/>
      </c>
      <c r="P67" s="128" t="n">
        <v>82</v>
      </c>
      <c r="Q67" s="128" t="n"/>
      <c r="R67" s="129" t="inlineStr">
        <is>
          <t>文叶</t>
        </is>
      </c>
      <c r="S67" s="129" t="n"/>
      <c r="T67" s="129" t="inlineStr">
        <is>
          <t>已签字《测试报告》-DP模块</t>
        </is>
      </c>
      <c r="U67" s="135" t="n"/>
      <c r="V67" s="135" t="n"/>
      <c r="W67" s="135" t="n"/>
      <c r="X67" s="135" t="n"/>
      <c r="Y67" s="135" t="n"/>
      <c r="Z67" s="135" t="n"/>
      <c r="AA67" s="135" t="n"/>
      <c r="AB67" s="135" t="n"/>
      <c r="AC67" s="135" t="n"/>
      <c r="AD67" s="135" t="n"/>
      <c r="AE67" s="135" t="n"/>
      <c r="AF67" s="135" t="n"/>
      <c r="AG67" s="135" t="n"/>
      <c r="AH67" s="135" t="n"/>
      <c r="AI67" s="135" t="n"/>
      <c r="AJ67" s="135" t="n"/>
      <c r="AK67" s="135" t="n"/>
      <c r="AL67" s="135" t="n"/>
      <c r="AM67" s="135" t="n"/>
      <c r="AN67" s="135" t="n"/>
      <c r="AO67" s="135" t="n"/>
    </row>
    <row r="68" outlineLevel="2" ht="20" customHeight="1" s="2">
      <c r="A68" s="24" t="n"/>
      <c r="B68" s="24" t="n"/>
      <c r="C68" s="24" t="inlineStr">
        <is>
          <t>4.1.4</t>
        </is>
      </c>
      <c r="D68" s="33" t="inlineStr">
        <is>
          <t>IP模块-系统试运行及确认</t>
        </is>
      </c>
      <c r="E68" s="37" t="n"/>
      <c r="F68" s="37" t="n"/>
      <c r="G68" s="34">
        <f>UAT试运行WBS!S11</f>
        <v/>
      </c>
      <c r="H68" s="23" t="n"/>
      <c r="I68" s="23" t="n"/>
      <c r="J68" s="34" t="n"/>
      <c r="K68" s="34" t="n"/>
      <c r="L68" s="34" t="n"/>
      <c r="M68" s="80" t="inlineStr">
        <is>
          <t>W36-W53</t>
        </is>
      </c>
      <c r="N68" s="140" t="n">
        <v>46510</v>
      </c>
      <c r="O68" s="140">
        <f>_xlfn.WORKDAY.INTL(N68,P68-1,1,法定节假日!$B$2:$B$67)</f>
        <v/>
      </c>
      <c r="P68" s="34" t="n">
        <v>84</v>
      </c>
      <c r="Q68" s="34" t="n"/>
      <c r="R68" s="23" t="inlineStr">
        <is>
          <t>宋沛霖</t>
        </is>
      </c>
      <c r="S68" s="23" t="n"/>
      <c r="T68" s="23" t="inlineStr">
        <is>
          <t>已签字《测试报告》-IP模块</t>
        </is>
      </c>
      <c r="U68" s="135" t="n"/>
      <c r="V68" s="135" t="n"/>
      <c r="W68" s="135" t="n"/>
      <c r="X68" s="135" t="n"/>
      <c r="Y68" s="135" t="n"/>
      <c r="Z68" s="135" t="n"/>
      <c r="AA68" s="135" t="n"/>
      <c r="AB68" s="135" t="n"/>
      <c r="AC68" s="135" t="n"/>
      <c r="AD68" s="135" t="n"/>
      <c r="AE68" s="135" t="n"/>
      <c r="AF68" s="135" t="n"/>
      <c r="AG68" s="135" t="n"/>
      <c r="AH68" s="135" t="n"/>
      <c r="AI68" s="135" t="n"/>
      <c r="AJ68" s="135" t="n"/>
      <c r="AK68" s="135" t="n"/>
      <c r="AL68" s="135" t="n"/>
      <c r="AM68" s="135" t="n"/>
      <c r="AN68" s="135" t="n"/>
      <c r="AO68" s="135" t="n"/>
    </row>
    <row r="69" outlineLevel="2" ht="20" customHeight="1" s="2">
      <c r="A69" s="24" t="n"/>
      <c r="B69" s="24" t="n"/>
      <c r="C69" s="24" t="inlineStr">
        <is>
          <t>4.1.5</t>
        </is>
      </c>
      <c r="D69" s="33" t="inlineStr">
        <is>
          <t>APS模块-系统试运行及确认</t>
        </is>
      </c>
      <c r="E69" s="37" t="n"/>
      <c r="F69" s="37" t="n"/>
      <c r="G69" s="34">
        <f>UAT试运行WBS!S11</f>
        <v/>
      </c>
      <c r="H69" s="23" t="n"/>
      <c r="I69" s="23" t="n"/>
      <c r="J69" s="34" t="n"/>
      <c r="K69" s="34" t="n"/>
      <c r="L69" s="34" t="n"/>
      <c r="M69" s="80" t="inlineStr">
        <is>
          <t>W36-W53</t>
        </is>
      </c>
      <c r="N69" s="140">
        <f>N68</f>
        <v/>
      </c>
      <c r="O69" s="140">
        <f>_xlfn.WORKDAY.INTL(N69,P69-1,1,法定节假日!$B$2:$B$67)</f>
        <v/>
      </c>
      <c r="P69" s="34" t="n">
        <v>84</v>
      </c>
      <c r="Q69" s="34" t="n"/>
      <c r="R69" s="23" t="inlineStr">
        <is>
          <t>AP王旭东、AS林寒欣</t>
        </is>
      </c>
      <c r="S69" s="23" t="n"/>
      <c r="T69" s="23" t="inlineStr">
        <is>
          <t>已签字《测试报告》-APS模块</t>
        </is>
      </c>
      <c r="U69" s="135" t="n"/>
      <c r="V69" s="135" t="n"/>
      <c r="W69" s="135" t="n"/>
      <c r="X69" s="135" t="n"/>
      <c r="Y69" s="135" t="n"/>
      <c r="Z69" s="135" t="n"/>
      <c r="AA69" s="135" t="n"/>
      <c r="AB69" s="135" t="n"/>
      <c r="AC69" s="135" t="n"/>
      <c r="AD69" s="135" t="n"/>
      <c r="AE69" s="135" t="n"/>
      <c r="AF69" s="135" t="n"/>
      <c r="AG69" s="135" t="n"/>
      <c r="AH69" s="135" t="n"/>
      <c r="AI69" s="135" t="n"/>
      <c r="AJ69" s="135" t="n"/>
      <c r="AK69" s="135" t="n"/>
      <c r="AL69" s="135" t="n"/>
      <c r="AM69" s="135" t="n"/>
      <c r="AN69" s="135" t="n"/>
      <c r="AO69" s="135" t="n"/>
    </row>
    <row r="70" ht="20" customHeight="1" s="2">
      <c r="A70" s="126" t="inlineStr">
        <is>
          <t>★</t>
        </is>
      </c>
      <c r="B70" s="126" t="n"/>
      <c r="C70" s="126" t="inlineStr">
        <is>
          <t>4.1.6</t>
        </is>
      </c>
      <c r="D70" s="136" t="inlineStr">
        <is>
          <t>测试问题结果确认</t>
        </is>
      </c>
      <c r="E70" s="127" t="n"/>
      <c r="F70" s="127" t="n"/>
      <c r="G70" s="128">
        <f>UAT试运行WBS!S14</f>
        <v/>
      </c>
      <c r="H70" s="129" t="n"/>
      <c r="I70" s="129" t="n"/>
      <c r="J70" s="128" t="n"/>
      <c r="K70" s="128" t="inlineStr">
        <is>
          <t>√</t>
        </is>
      </c>
      <c r="L70" s="128" t="inlineStr">
        <is>
          <t>√</t>
        </is>
      </c>
      <c r="M70" s="130" t="n"/>
      <c r="N70" s="131" t="n">
        <v>46629</v>
      </c>
      <c r="O70" s="131">
        <f>_xlfn.WORKDAY.INTL(N70,P70-1,1,法定节假日!$B$2:$B$67)</f>
        <v/>
      </c>
      <c r="P70" s="128" t="n">
        <v>2</v>
      </c>
      <c r="Q70" s="128" t="n"/>
      <c r="R70" s="129" t="inlineStr">
        <is>
          <t>陈本鸿</t>
        </is>
      </c>
      <c r="S70" s="129" t="n"/>
      <c r="T70" s="129" t="inlineStr">
        <is>
          <t>《问题跟踪表》</t>
        </is>
      </c>
      <c r="U70" s="135" t="n"/>
      <c r="V70" s="135" t="n"/>
      <c r="W70" s="135" t="n"/>
      <c r="X70" s="135" t="n"/>
      <c r="Y70" s="135" t="n"/>
      <c r="Z70" s="135" t="n"/>
      <c r="AA70" s="135" t="n"/>
      <c r="AB70" s="135" t="n"/>
      <c r="AC70" s="135" t="n"/>
      <c r="AD70" s="135" t="n"/>
      <c r="AE70" s="135" t="n"/>
      <c r="AF70" s="135" t="n"/>
      <c r="AG70" s="135" t="n"/>
      <c r="AH70" s="135" t="n"/>
      <c r="AI70" s="135" t="n"/>
      <c r="AJ70" s="135" t="n"/>
      <c r="AK70" s="135" t="n"/>
      <c r="AL70" s="135" t="n"/>
      <c r="AM70" s="135" t="n"/>
      <c r="AN70" s="135" t="n"/>
      <c r="AO70" s="135" t="n"/>
    </row>
    <row r="71" outlineLevel="1" ht="20" customHeight="1" s="2">
      <c r="A71" s="24" t="n"/>
      <c r="B71" s="17" t="n">
        <v>4.2</v>
      </c>
      <c r="C71" s="17" t="n"/>
      <c r="D71" s="141" t="inlineStr">
        <is>
          <t>最终用户培训</t>
        </is>
      </c>
      <c r="E71" s="22" t="n"/>
      <c r="F71" s="22" t="n"/>
      <c r="G71" s="20">
        <f>UAT试运行WBS!S16</f>
        <v/>
      </c>
      <c r="H71" s="19" t="n"/>
      <c r="I71" s="19" t="n"/>
      <c r="J71" s="20" t="n"/>
      <c r="K71" s="20" t="n"/>
      <c r="L71" s="20" t="n"/>
      <c r="M71" s="42" t="inlineStr">
        <is>
          <t>W49-W50</t>
        </is>
      </c>
      <c r="N71" s="134" t="n">
        <v>46601</v>
      </c>
      <c r="O71" s="134">
        <f>_xlfn.WORKDAY.INTL(N71,P71-1,1,法定节假日!$B$2:$B$67)</f>
        <v/>
      </c>
      <c r="P71" s="20" t="n">
        <v>10</v>
      </c>
      <c r="Q71" s="20" t="n"/>
      <c r="R71" s="19" t="inlineStr">
        <is>
          <t>陈本鸿</t>
        </is>
      </c>
      <c r="S71" s="19" t="n"/>
      <c r="T71" s="19" t="n"/>
      <c r="U71" s="135" t="n"/>
      <c r="V71" s="135" t="n"/>
      <c r="W71" s="135" t="n"/>
      <c r="X71" s="135" t="n"/>
      <c r="Y71" s="135" t="n"/>
      <c r="Z71" s="135" t="n"/>
      <c r="AA71" s="135" t="n"/>
      <c r="AB71" s="135" t="n"/>
      <c r="AC71" s="135" t="n"/>
      <c r="AD71" s="135" t="n"/>
      <c r="AE71" s="135" t="n"/>
      <c r="AF71" s="135" t="n"/>
      <c r="AG71" s="135" t="n"/>
      <c r="AH71" s="135" t="n"/>
      <c r="AI71" s="135" t="n"/>
      <c r="AJ71" s="135" t="n"/>
      <c r="AK71" s="135" t="n"/>
      <c r="AL71" s="135" t="n"/>
      <c r="AM71" s="135" t="n"/>
      <c r="AN71" s="135" t="n"/>
      <c r="AO71" s="135" t="n"/>
    </row>
    <row r="72" ht="20" customHeight="1" s="2">
      <c r="A72" s="126" t="inlineStr">
        <is>
          <t>★</t>
        </is>
      </c>
      <c r="B72" s="126" t="n"/>
      <c r="C72" s="126" t="inlineStr">
        <is>
          <t>4.2.1</t>
        </is>
      </c>
      <c r="D72" s="136" t="inlineStr">
        <is>
          <t>最终用户培训考核</t>
        </is>
      </c>
      <c r="E72" s="127" t="n"/>
      <c r="F72" s="127" t="n"/>
      <c r="G72" s="128">
        <f>UAT试运行WBS!S17</f>
        <v/>
      </c>
      <c r="H72" s="129" t="n"/>
      <c r="I72" s="129" t="n"/>
      <c r="J72" s="128" t="n"/>
      <c r="K72" s="128" t="n"/>
      <c r="L72" s="128" t="n"/>
      <c r="M72" s="130" t="inlineStr">
        <is>
          <t>W49</t>
        </is>
      </c>
      <c r="N72" s="131">
        <f>N71</f>
        <v/>
      </c>
      <c r="O72" s="131">
        <f>_xlfn.WORKDAY.INTL(N72,P72-1,1,法定节假日!$B$2:$B$67)</f>
        <v/>
      </c>
      <c r="P72" s="128" t="n">
        <v>5</v>
      </c>
      <c r="Q72" s="128" t="n"/>
      <c r="R72" s="129" t="inlineStr">
        <is>
          <t>陈本鸿</t>
        </is>
      </c>
      <c r="S72" s="129" t="n"/>
      <c r="T72" s="129" t="inlineStr">
        <is>
          <t>《培训教材》</t>
        </is>
      </c>
      <c r="U72" s="135" t="n"/>
      <c r="V72" s="135" t="n"/>
      <c r="W72" s="135" t="n"/>
      <c r="X72" s="135" t="n"/>
      <c r="Y72" s="135" t="n"/>
      <c r="Z72" s="135" t="n"/>
      <c r="AA72" s="135" t="n"/>
      <c r="AB72" s="135" t="n"/>
      <c r="AC72" s="135" t="n"/>
      <c r="AD72" s="135" t="n"/>
      <c r="AE72" s="135" t="n"/>
      <c r="AF72" s="135" t="n"/>
      <c r="AG72" s="135" t="n"/>
      <c r="AH72" s="135" t="n"/>
      <c r="AI72" s="135" t="n"/>
      <c r="AJ72" s="135" t="n"/>
      <c r="AK72" s="135" t="n"/>
      <c r="AL72" s="135" t="n"/>
      <c r="AM72" s="135" t="n"/>
      <c r="AN72" s="135" t="n"/>
      <c r="AO72" s="135" t="n"/>
    </row>
    <row r="73" ht="20" customHeight="1" s="2">
      <c r="A73" s="126" t="inlineStr">
        <is>
          <t>★</t>
        </is>
      </c>
      <c r="B73" s="126" t="n"/>
      <c r="C73" s="126" t="inlineStr">
        <is>
          <t>4.2.2</t>
        </is>
      </c>
      <c r="D73" s="136" t="inlineStr">
        <is>
          <t>用户操作手册制定</t>
        </is>
      </c>
      <c r="E73" s="127" t="n"/>
      <c r="F73" s="127" t="n"/>
      <c r="G73" s="128">
        <f>UAT试运行WBS!S20</f>
        <v/>
      </c>
      <c r="H73" s="129" t="n"/>
      <c r="I73" s="129" t="n"/>
      <c r="J73" s="128" t="inlineStr">
        <is>
          <t>√</t>
        </is>
      </c>
      <c r="K73" s="128" t="inlineStr">
        <is>
          <t>√</t>
        </is>
      </c>
      <c r="L73" s="128" t="inlineStr">
        <is>
          <t>√</t>
        </is>
      </c>
      <c r="M73" s="130" t="inlineStr">
        <is>
          <t>W50</t>
        </is>
      </c>
      <c r="N73" s="131" t="n">
        <v>46606</v>
      </c>
      <c r="O73" s="131">
        <f>_xlfn.WORKDAY.INTL(N73,P73-1,1,法定节假日!$B$2:$B$67)</f>
        <v/>
      </c>
      <c r="P73" s="128" t="n">
        <v>5</v>
      </c>
      <c r="Q73" s="128" t="n"/>
      <c r="R73" s="129" t="inlineStr">
        <is>
          <t>陈本鸿</t>
        </is>
      </c>
      <c r="S73" s="129" t="n"/>
      <c r="T73" s="129" t="inlineStr">
        <is>
          <t>《用户操作手册》</t>
        </is>
      </c>
      <c r="U73" s="135" t="n"/>
      <c r="V73" s="135" t="n"/>
      <c r="W73" s="135" t="n"/>
      <c r="X73" s="135" t="n"/>
      <c r="Y73" s="135" t="n"/>
      <c r="Z73" s="135" t="n"/>
      <c r="AA73" s="135" t="n"/>
      <c r="AB73" s="135" t="n"/>
      <c r="AC73" s="135" t="n"/>
      <c r="AD73" s="135" t="n"/>
      <c r="AE73" s="135" t="n"/>
      <c r="AF73" s="135" t="n"/>
      <c r="AG73" s="135" t="n"/>
      <c r="AH73" s="135" t="n"/>
      <c r="AI73" s="135" t="n"/>
      <c r="AJ73" s="135" t="n"/>
      <c r="AK73" s="135" t="n"/>
      <c r="AL73" s="135" t="n"/>
      <c r="AM73" s="135" t="n"/>
      <c r="AN73" s="135" t="n"/>
      <c r="AO73" s="135" t="n"/>
    </row>
    <row r="74" outlineLevel="1" ht="20" customHeight="1" s="2">
      <c r="A74" s="24" t="n"/>
      <c r="B74" s="17" t="n">
        <v>4.3</v>
      </c>
      <c r="C74" s="17" t="n"/>
      <c r="D74" s="141" t="inlineStr">
        <is>
          <t>上线准备</t>
        </is>
      </c>
      <c r="E74" s="22" t="n"/>
      <c r="F74" s="22" t="n"/>
      <c r="G74" s="20">
        <f>UAT试运行WBS!S22</f>
        <v/>
      </c>
      <c r="H74" s="19" t="n"/>
      <c r="I74" s="19" t="n"/>
      <c r="J74" s="20" t="n"/>
      <c r="K74" s="20" t="n"/>
      <c r="L74" s="20" t="n"/>
      <c r="M74" s="42" t="inlineStr">
        <is>
          <t>W51-W52</t>
        </is>
      </c>
      <c r="N74" s="134" t="n">
        <v>46615</v>
      </c>
      <c r="O74" s="134">
        <f>_xlfn.WORKDAY.INTL(N74,P74-1,1,法定节假日!$B$2:$B$67)</f>
        <v/>
      </c>
      <c r="P74" s="20" t="n">
        <v>10</v>
      </c>
      <c r="Q74" s="20" t="n"/>
      <c r="R74" s="19" t="inlineStr">
        <is>
          <t>陈本鸿</t>
        </is>
      </c>
      <c r="S74" s="19" t="n"/>
      <c r="T74" s="19" t="n"/>
      <c r="U74" s="135" t="n"/>
      <c r="V74" s="135" t="n"/>
      <c r="W74" s="135" t="n"/>
      <c r="X74" s="135" t="n"/>
      <c r="Y74" s="135" t="n"/>
      <c r="Z74" s="135" t="n"/>
      <c r="AA74" s="135" t="n"/>
      <c r="AB74" s="135" t="n"/>
      <c r="AC74" s="135" t="n"/>
      <c r="AD74" s="135" t="n"/>
      <c r="AE74" s="135" t="n"/>
      <c r="AF74" s="135" t="n"/>
      <c r="AG74" s="135" t="n"/>
      <c r="AH74" s="135" t="n"/>
      <c r="AI74" s="135" t="n"/>
      <c r="AJ74" s="135" t="n"/>
      <c r="AK74" s="135" t="n"/>
      <c r="AL74" s="135" t="n"/>
      <c r="AM74" s="135" t="n"/>
      <c r="AN74" s="135" t="n"/>
      <c r="AO74" s="135" t="n"/>
    </row>
    <row r="75" ht="20" customHeight="1" s="2">
      <c r="A75" s="126" t="inlineStr">
        <is>
          <t>★</t>
        </is>
      </c>
      <c r="B75" s="126" t="n"/>
      <c r="C75" s="126" t="inlineStr">
        <is>
          <t>4.3.1</t>
        </is>
      </c>
      <c r="D75" s="136" t="inlineStr">
        <is>
          <t>制定上线策略与切换计划</t>
        </is>
      </c>
      <c r="E75" s="127" t="n"/>
      <c r="F75" s="127" t="n"/>
      <c r="G75" s="128">
        <f>UAT试运行WBS!S23</f>
        <v/>
      </c>
      <c r="H75" s="129" t="n"/>
      <c r="I75" s="129" t="n"/>
      <c r="J75" s="128" t="inlineStr">
        <is>
          <t>√</t>
        </is>
      </c>
      <c r="K75" s="128" t="inlineStr">
        <is>
          <t>√</t>
        </is>
      </c>
      <c r="L75" s="128" t="inlineStr">
        <is>
          <t>√</t>
        </is>
      </c>
      <c r="M75" s="130" t="inlineStr">
        <is>
          <t>W51-W52</t>
        </is>
      </c>
      <c r="N75" s="131">
        <f>N74</f>
        <v/>
      </c>
      <c r="O75" s="131">
        <f>_xlfn.WORKDAY.INTL(N75,P75-1,1,法定节假日!$B$2:$B$67)</f>
        <v/>
      </c>
      <c r="P75" s="128" t="n">
        <v>10</v>
      </c>
      <c r="Q75" s="128" t="n"/>
      <c r="R75" s="129" t="inlineStr">
        <is>
          <t>陈本鸿</t>
        </is>
      </c>
      <c r="S75" s="129" t="n"/>
      <c r="T75" s="129" t="inlineStr">
        <is>
          <t>《上线策略与切换计划》《应急策略》</t>
        </is>
      </c>
      <c r="U75" s="135" t="n"/>
      <c r="V75" s="135" t="n"/>
      <c r="W75" s="135" t="n"/>
      <c r="X75" s="135" t="n"/>
      <c r="Y75" s="135" t="n"/>
      <c r="Z75" s="135" t="n"/>
      <c r="AA75" s="135" t="n"/>
      <c r="AB75" s="135" t="n"/>
      <c r="AC75" s="135" t="n"/>
      <c r="AD75" s="135" t="n"/>
      <c r="AE75" s="135" t="n"/>
      <c r="AF75" s="135" t="n"/>
      <c r="AG75" s="135" t="n"/>
      <c r="AH75" s="135" t="n"/>
      <c r="AI75" s="135" t="n"/>
      <c r="AJ75" s="135" t="n"/>
      <c r="AK75" s="135" t="n"/>
      <c r="AL75" s="135" t="n"/>
      <c r="AM75" s="135" t="n"/>
      <c r="AN75" s="135" t="n"/>
      <c r="AO75" s="135" t="n"/>
    </row>
    <row r="76" ht="20" customHeight="1" s="2">
      <c r="A76" s="126" t="inlineStr">
        <is>
          <t>★</t>
        </is>
      </c>
      <c r="B76" s="126" t="n"/>
      <c r="C76" s="126" t="inlineStr">
        <is>
          <t>4.3.2</t>
        </is>
      </c>
      <c r="D76" s="136" t="inlineStr">
        <is>
          <t>初始化数据准备与测试</t>
        </is>
      </c>
      <c r="E76" s="127" t="n"/>
      <c r="F76" s="127" t="n"/>
      <c r="G76" s="128">
        <f>UAT试运行WBS!S26</f>
        <v/>
      </c>
      <c r="H76" s="129" t="n"/>
      <c r="I76" s="129" t="n"/>
      <c r="J76" s="128" t="n"/>
      <c r="K76" s="128" t="n"/>
      <c r="L76" s="128" t="n"/>
      <c r="M76" s="130" t="inlineStr">
        <is>
          <t>W51-W52</t>
        </is>
      </c>
      <c r="N76" s="131">
        <f>N75</f>
        <v/>
      </c>
      <c r="O76" s="131">
        <f>_xlfn.WORKDAY.INTL(N76,P76-1,1,法定节假日!$B$2:$B$67)</f>
        <v/>
      </c>
      <c r="P76" s="128" t="n">
        <v>10</v>
      </c>
      <c r="Q76" s="128" t="n"/>
      <c r="R76" s="129" t="inlineStr">
        <is>
          <t>宋沛霖</t>
        </is>
      </c>
      <c r="S76" s="129" t="n"/>
      <c r="T76" s="129" t="inlineStr">
        <is>
          <t>《测试报告》</t>
        </is>
      </c>
      <c r="U76" s="135" t="n"/>
      <c r="V76" s="135" t="n"/>
      <c r="W76" s="135" t="n"/>
      <c r="X76" s="135" t="n"/>
      <c r="Y76" s="135" t="n"/>
      <c r="Z76" s="135" t="n"/>
      <c r="AA76" s="135" t="n"/>
      <c r="AB76" s="135" t="n"/>
      <c r="AC76" s="135" t="n"/>
      <c r="AD76" s="135" t="n"/>
      <c r="AE76" s="135" t="n"/>
      <c r="AF76" s="135" t="n"/>
      <c r="AG76" s="135" t="n"/>
      <c r="AH76" s="135" t="n"/>
      <c r="AI76" s="135" t="n"/>
      <c r="AJ76" s="135" t="n"/>
      <c r="AK76" s="135" t="n"/>
      <c r="AL76" s="135" t="n"/>
      <c r="AM76" s="135" t="n"/>
      <c r="AN76" s="135" t="n"/>
      <c r="AO76" s="135" t="n"/>
    </row>
    <row r="77" ht="20" customHeight="1" s="2">
      <c r="A77" s="126" t="inlineStr">
        <is>
          <t>★</t>
        </is>
      </c>
      <c r="B77" s="126" t="n"/>
      <c r="C77" s="126" t="inlineStr">
        <is>
          <t>4.3.3</t>
        </is>
      </c>
      <c r="D77" s="136" t="inlineStr">
        <is>
          <t>准备正式生产环境</t>
        </is>
      </c>
      <c r="E77" s="127" t="n"/>
      <c r="F77" s="127" t="n"/>
      <c r="G77" s="128">
        <f>UAT试运行WBS!S30</f>
        <v/>
      </c>
      <c r="H77" s="129" t="n"/>
      <c r="I77" s="129" t="n"/>
      <c r="J77" s="128" t="n"/>
      <c r="K77" s="128" t="n"/>
      <c r="L77" s="128" t="n"/>
      <c r="M77" s="130" t="inlineStr">
        <is>
          <t>W51-W52</t>
        </is>
      </c>
      <c r="N77" s="131">
        <f>N76</f>
        <v/>
      </c>
      <c r="O77" s="131">
        <f>_xlfn.WORKDAY.INTL(N77,P77-1,1,法定节假日!$B$2:$B$67)</f>
        <v/>
      </c>
      <c r="P77" s="128" t="n">
        <v>10</v>
      </c>
      <c r="Q77" s="128" t="n"/>
      <c r="R77" s="129" t="inlineStr">
        <is>
          <t>陈本鸿</t>
        </is>
      </c>
      <c r="S77" s="129" t="n"/>
      <c r="T77" s="129" t="inlineStr">
        <is>
          <t>正常运行的生产环境</t>
        </is>
      </c>
      <c r="U77" s="135" t="n"/>
      <c r="V77" s="135" t="n"/>
      <c r="W77" s="135" t="n"/>
      <c r="X77" s="135" t="n"/>
      <c r="Y77" s="135" t="n"/>
      <c r="Z77" s="135" t="n"/>
      <c r="AA77" s="135" t="n"/>
      <c r="AB77" s="135" t="n"/>
      <c r="AC77" s="135" t="n"/>
      <c r="AD77" s="135" t="n"/>
      <c r="AE77" s="135" t="n"/>
      <c r="AF77" s="135" t="n"/>
      <c r="AG77" s="135" t="n"/>
      <c r="AH77" s="135" t="n"/>
      <c r="AI77" s="135" t="n"/>
      <c r="AJ77" s="135" t="n"/>
      <c r="AK77" s="135" t="n"/>
      <c r="AL77" s="135" t="n"/>
      <c r="AM77" s="135" t="n"/>
      <c r="AN77" s="135" t="n"/>
      <c r="AO77" s="135" t="n"/>
    </row>
    <row r="78" ht="20" customHeight="1" s="2">
      <c r="A78" s="126" t="inlineStr">
        <is>
          <t>★</t>
        </is>
      </c>
      <c r="B78" s="126" t="n"/>
      <c r="C78" s="126" t="inlineStr">
        <is>
          <t>4.3.4</t>
        </is>
      </c>
      <c r="D78" s="136" t="inlineStr">
        <is>
          <t>上线启动商讨会</t>
        </is>
      </c>
      <c r="E78" s="127" t="n"/>
      <c r="F78" s="127" t="n"/>
      <c r="G78" s="128">
        <f>UAT试运行WBS!S38</f>
        <v/>
      </c>
      <c r="H78" s="129" t="n"/>
      <c r="I78" s="129" t="n"/>
      <c r="J78" s="128" t="n"/>
      <c r="K78" s="128" t="n"/>
      <c r="L78" s="128" t="n"/>
      <c r="M78" s="130" t="inlineStr">
        <is>
          <t>W51-W52</t>
        </is>
      </c>
      <c r="N78" s="131">
        <f>N77</f>
        <v/>
      </c>
      <c r="O78" s="131">
        <f>_xlfn.WORKDAY.INTL(N78,P78-1,1,法定节假日!$B$2:$B$67)</f>
        <v/>
      </c>
      <c r="P78" s="128" t="n">
        <v>10</v>
      </c>
      <c r="Q78" s="128" t="n"/>
      <c r="R78" s="129" t="inlineStr">
        <is>
          <t>周年根</t>
        </is>
      </c>
      <c r="S78" s="129" t="n"/>
      <c r="T78" s="129" t="inlineStr">
        <is>
          <t>《会议纪要》</t>
        </is>
      </c>
      <c r="U78" s="135" t="n"/>
      <c r="V78" s="135" t="n"/>
      <c r="W78" s="135" t="n"/>
      <c r="X78" s="135" t="n"/>
      <c r="Y78" s="135" t="n"/>
      <c r="Z78" s="135" t="n"/>
      <c r="AA78" s="135" t="n"/>
      <c r="AB78" s="135" t="n"/>
      <c r="AC78" s="135" t="n"/>
      <c r="AD78" s="135" t="n"/>
      <c r="AE78" s="135" t="n"/>
      <c r="AF78" s="135" t="n"/>
      <c r="AG78" s="135" t="n"/>
      <c r="AH78" s="135" t="n"/>
      <c r="AI78" s="135" t="n"/>
      <c r="AJ78" s="135" t="n"/>
      <c r="AK78" s="135" t="n"/>
      <c r="AL78" s="135" t="n"/>
      <c r="AM78" s="135" t="n"/>
      <c r="AN78" s="135" t="n"/>
      <c r="AO78" s="135" t="n"/>
    </row>
    <row r="79" outlineLevel="1" ht="20" customHeight="1" s="2">
      <c r="A79" s="24" t="n"/>
      <c r="B79" s="17" t="n">
        <v>4.4</v>
      </c>
      <c r="C79" s="17" t="n"/>
      <c r="D79" s="141" t="inlineStr">
        <is>
          <t>系统上线</t>
        </is>
      </c>
      <c r="E79" s="22" t="n"/>
      <c r="F79" s="22" t="n"/>
      <c r="G79" s="20">
        <f>UAT试运行WBS!S40</f>
        <v/>
      </c>
      <c r="H79" s="19" t="n"/>
      <c r="I79" s="19" t="n"/>
      <c r="J79" s="20" t="n"/>
      <c r="K79" s="20" t="n"/>
      <c r="L79" s="20" t="n"/>
      <c r="M79" s="42" t="inlineStr">
        <is>
          <t>W52-W53</t>
        </is>
      </c>
      <c r="N79" s="134" t="n">
        <v>46622</v>
      </c>
      <c r="O79" s="134">
        <f>_xlfn.WORKDAY.INTL(N79,P79-1,1,法定节假日!$B$2:$B$67)</f>
        <v/>
      </c>
      <c r="P79" s="20" t="n">
        <v>7</v>
      </c>
      <c r="Q79" s="20" t="n"/>
      <c r="R79" s="19" t="inlineStr">
        <is>
          <t>周年根</t>
        </is>
      </c>
      <c r="S79" s="19" t="n"/>
      <c r="T79" s="19" t="n"/>
      <c r="U79" s="135" t="n"/>
      <c r="V79" s="135" t="n"/>
      <c r="W79" s="135" t="n"/>
      <c r="X79" s="135" t="n"/>
      <c r="Y79" s="135" t="n"/>
      <c r="Z79" s="135" t="n"/>
      <c r="AA79" s="135" t="n"/>
      <c r="AB79" s="135" t="n"/>
      <c r="AC79" s="135" t="n"/>
      <c r="AD79" s="135" t="n"/>
      <c r="AE79" s="135" t="n"/>
      <c r="AF79" s="135" t="n"/>
      <c r="AG79" s="135" t="n"/>
      <c r="AH79" s="135" t="n"/>
      <c r="AI79" s="135" t="n"/>
      <c r="AJ79" s="135" t="n"/>
      <c r="AK79" s="135" t="n"/>
      <c r="AL79" s="135" t="n"/>
      <c r="AM79" s="135" t="n"/>
      <c r="AN79" s="135" t="n"/>
      <c r="AO79" s="135" t="n"/>
    </row>
    <row r="80" ht="20" customHeight="1" s="2">
      <c r="A80" s="126" t="inlineStr">
        <is>
          <t>★</t>
        </is>
      </c>
      <c r="B80" s="126" t="n"/>
      <c r="C80" s="126" t="inlineStr">
        <is>
          <t>4.4.1</t>
        </is>
      </c>
      <c r="D80" s="136" t="inlineStr">
        <is>
          <t>正式环境数据导入与优化确认</t>
        </is>
      </c>
      <c r="E80" s="127" t="n"/>
      <c r="F80" s="127" t="n"/>
      <c r="G80" s="128">
        <f>UAT试运行WBS!S41</f>
        <v/>
      </c>
      <c r="H80" s="129" t="n"/>
      <c r="I80" s="129" t="n"/>
      <c r="J80" s="128" t="n"/>
      <c r="K80" s="128" t="n"/>
      <c r="L80" s="128" t="n"/>
      <c r="M80" s="130" t="inlineStr">
        <is>
          <t>W52-W53</t>
        </is>
      </c>
      <c r="N80" s="131">
        <f>N79</f>
        <v/>
      </c>
      <c r="O80" s="131">
        <f>_xlfn.WORKDAY.INTL(N80,P80-1,1,法定节假日!$B$2:$B$67)</f>
        <v/>
      </c>
      <c r="P80" s="128" t="n">
        <v>7</v>
      </c>
      <c r="Q80" s="128" t="n"/>
      <c r="R80" s="129" t="inlineStr">
        <is>
          <t>宋沛霖</t>
        </is>
      </c>
      <c r="S80" s="129" t="n"/>
      <c r="T80" s="129" t="n"/>
      <c r="U80" s="135" t="n"/>
      <c r="V80" s="135" t="n"/>
      <c r="W80" s="135" t="n"/>
      <c r="X80" s="135" t="n"/>
      <c r="Y80" s="135" t="n"/>
      <c r="Z80" s="135" t="n"/>
      <c r="AA80" s="135" t="n"/>
      <c r="AB80" s="135" t="n"/>
      <c r="AC80" s="135" t="n"/>
      <c r="AD80" s="135" t="n"/>
      <c r="AE80" s="135" t="n"/>
      <c r="AF80" s="135" t="n"/>
      <c r="AG80" s="135" t="n"/>
      <c r="AH80" s="135" t="n"/>
      <c r="AI80" s="135" t="n"/>
      <c r="AJ80" s="135" t="n"/>
      <c r="AK80" s="135" t="n"/>
      <c r="AL80" s="135" t="n"/>
      <c r="AM80" s="135" t="n"/>
      <c r="AN80" s="135" t="n"/>
      <c r="AO80" s="135" t="n"/>
    </row>
    <row r="81" ht="20" customHeight="1" s="2">
      <c r="A81" s="126" t="inlineStr">
        <is>
          <t>★</t>
        </is>
      </c>
      <c r="B81" s="126" t="n"/>
      <c r="C81" s="126" t="inlineStr">
        <is>
          <t>4.4.2</t>
        </is>
      </c>
      <c r="D81" s="136" t="inlineStr">
        <is>
          <t>召开上线动员大会</t>
        </is>
      </c>
      <c r="E81" s="127" t="n"/>
      <c r="F81" s="127" t="n"/>
      <c r="G81" s="128">
        <f>UAT试运行WBS!S45</f>
        <v/>
      </c>
      <c r="H81" s="129" t="n"/>
      <c r="I81" s="129" t="n"/>
      <c r="J81" s="128" t="inlineStr">
        <is>
          <t>√</t>
        </is>
      </c>
      <c r="K81" s="128" t="inlineStr">
        <is>
          <t>√</t>
        </is>
      </c>
      <c r="L81" s="128" t="inlineStr">
        <is>
          <t>√</t>
        </is>
      </c>
      <c r="M81" s="130" t="inlineStr">
        <is>
          <t>W52-W53</t>
        </is>
      </c>
      <c r="N81" s="131">
        <f>N80</f>
        <v/>
      </c>
      <c r="O81" s="131">
        <f>_xlfn.WORKDAY.INTL(N81,P81-1,1,法定节假日!$B$2:$B$67)</f>
        <v/>
      </c>
      <c r="P81" s="128" t="n">
        <v>7</v>
      </c>
      <c r="Q81" s="128" t="n"/>
      <c r="R81" s="129" t="inlineStr">
        <is>
          <t>周年根</t>
        </is>
      </c>
      <c r="S81" s="129" t="n"/>
      <c r="T81" s="129" t="inlineStr">
        <is>
          <t>《上线启动会PPT》</t>
        </is>
      </c>
      <c r="U81" s="135" t="n"/>
      <c r="V81" s="135" t="n"/>
      <c r="W81" s="135" t="n"/>
      <c r="X81" s="135" t="n"/>
      <c r="Y81" s="135" t="n"/>
      <c r="Z81" s="135" t="n"/>
      <c r="AA81" s="135" t="n"/>
      <c r="AB81" s="135" t="n"/>
      <c r="AC81" s="135" t="n"/>
      <c r="AD81" s="135" t="n"/>
      <c r="AE81" s="135" t="n"/>
      <c r="AF81" s="135" t="n"/>
      <c r="AG81" s="135" t="n"/>
      <c r="AH81" s="135" t="n"/>
      <c r="AI81" s="135" t="n"/>
      <c r="AJ81" s="135" t="n"/>
      <c r="AK81" s="135" t="n"/>
      <c r="AL81" s="135" t="n"/>
      <c r="AM81" s="135" t="n"/>
      <c r="AN81" s="135" t="n"/>
      <c r="AO81" s="135" t="n"/>
    </row>
    <row r="82" ht="20" customHeight="1" s="2">
      <c r="A82" s="126" t="inlineStr">
        <is>
          <t>★</t>
        </is>
      </c>
      <c r="B82" s="126" t="n"/>
      <c r="C82" s="126" t="inlineStr">
        <is>
          <t>4.4.3</t>
        </is>
      </c>
      <c r="D82" s="136" t="inlineStr">
        <is>
          <t>通知正式启用新系统</t>
        </is>
      </c>
      <c r="E82" s="127" t="n"/>
      <c r="F82" s="127" t="n"/>
      <c r="G82" s="128">
        <f>UAT试运行WBS!S48</f>
        <v/>
      </c>
      <c r="H82" s="129" t="n"/>
      <c r="I82" s="129" t="n"/>
      <c r="J82" s="128" t="n"/>
      <c r="K82" s="128" t="n"/>
      <c r="L82" s="128" t="n"/>
      <c r="M82" s="130" t="inlineStr">
        <is>
          <t>W52-W53</t>
        </is>
      </c>
      <c r="N82" s="131">
        <f>N81</f>
        <v/>
      </c>
      <c r="O82" s="131">
        <f>_xlfn.WORKDAY.INTL(N82,P82-1,1,法定节假日!$B$2:$B$67)</f>
        <v/>
      </c>
      <c r="P82" s="128" t="n">
        <v>7</v>
      </c>
      <c r="Q82" s="128" t="n"/>
      <c r="R82" s="129" t="inlineStr">
        <is>
          <t>陈本鸿</t>
        </is>
      </c>
      <c r="S82" s="129" t="n"/>
      <c r="T82" s="129" t="inlineStr">
        <is>
          <t>正式启动邮件</t>
        </is>
      </c>
      <c r="U82" s="135" t="n"/>
      <c r="V82" s="135" t="n"/>
      <c r="W82" s="135" t="n"/>
      <c r="X82" s="135" t="n"/>
      <c r="Y82" s="135" t="n"/>
      <c r="Z82" s="135" t="n"/>
      <c r="AA82" s="135" t="n"/>
      <c r="AB82" s="135" t="n"/>
      <c r="AC82" s="135" t="n"/>
      <c r="AD82" s="135" t="n"/>
      <c r="AE82" s="135" t="n"/>
      <c r="AF82" s="135" t="n"/>
      <c r="AG82" s="135" t="n"/>
      <c r="AH82" s="135" t="n"/>
      <c r="AI82" s="135" t="n"/>
      <c r="AJ82" s="135" t="n"/>
      <c r="AK82" s="135" t="n"/>
      <c r="AL82" s="135" t="n"/>
      <c r="AM82" s="135" t="n"/>
      <c r="AN82" s="135" t="n"/>
      <c r="AO82" s="135" t="n"/>
    </row>
    <row r="83" ht="20" customHeight="1" s="2">
      <c r="A83" s="126" t="inlineStr">
        <is>
          <t>★</t>
        </is>
      </c>
      <c r="B83" s="126" t="n"/>
      <c r="C83" s="126" t="inlineStr">
        <is>
          <t>4.4.4</t>
        </is>
      </c>
      <c r="D83" s="136" t="inlineStr">
        <is>
          <t>签署上线确认单</t>
        </is>
      </c>
      <c r="E83" s="127" t="n"/>
      <c r="F83" s="127" t="n"/>
      <c r="G83" s="128">
        <f>UAT试运行WBS!S50</f>
        <v/>
      </c>
      <c r="H83" s="129" t="n"/>
      <c r="I83" s="128" t="inlineStr">
        <is>
          <t>√</t>
        </is>
      </c>
      <c r="J83" s="128" t="n"/>
      <c r="K83" s="128" t="n"/>
      <c r="L83" s="128" t="inlineStr">
        <is>
          <t>√</t>
        </is>
      </c>
      <c r="M83" s="130" t="inlineStr">
        <is>
          <t>W52-W53</t>
        </is>
      </c>
      <c r="N83" s="131">
        <f>N82</f>
        <v/>
      </c>
      <c r="O83" s="131">
        <f>_xlfn.WORKDAY.INTL(N83,P83-1,1,法定节假日!$B$2:$B$67)</f>
        <v/>
      </c>
      <c r="P83" s="128" t="n">
        <v>7</v>
      </c>
      <c r="Q83" s="128" t="n"/>
      <c r="R83" s="129" t="inlineStr">
        <is>
          <t>周年根</t>
        </is>
      </c>
      <c r="S83" s="129" t="n"/>
      <c r="T83" s="129" t="inlineStr">
        <is>
          <t>《项目上线确认单》</t>
        </is>
      </c>
      <c r="U83" s="135" t="n"/>
      <c r="V83" s="135" t="n"/>
      <c r="W83" s="135" t="n"/>
      <c r="X83" s="135" t="n"/>
      <c r="Y83" s="135" t="n"/>
      <c r="Z83" s="135" t="n"/>
      <c r="AA83" s="135" t="n"/>
      <c r="AB83" s="135" t="n"/>
      <c r="AC83" s="135" t="n"/>
      <c r="AD83" s="135" t="n"/>
      <c r="AE83" s="135" t="n"/>
      <c r="AF83" s="135" t="n"/>
      <c r="AG83" s="135" t="n"/>
      <c r="AH83" s="135" t="n"/>
      <c r="AI83" s="135" t="n"/>
      <c r="AJ83" s="135" t="n"/>
      <c r="AK83" s="135" t="n"/>
      <c r="AL83" s="135" t="n"/>
      <c r="AM83" s="135" t="n"/>
      <c r="AN83" s="135" t="n"/>
      <c r="AO83" s="135" t="n"/>
    </row>
    <row r="84" ht="20" customFormat="1" customHeight="1" s="59">
      <c r="A84" s="126" t="n">
        <v>5</v>
      </c>
      <c r="B84" s="126" t="n"/>
      <c r="C84" s="126" t="n"/>
      <c r="D84" s="136" t="inlineStr">
        <is>
          <t>上线跟踪</t>
        </is>
      </c>
      <c r="E84" s="127" t="n"/>
      <c r="F84" s="127" t="n"/>
      <c r="G84" s="128">
        <f>IF(COUNTIF(G85:G96,"未完成")=COUNTA(G85:G96),"未完成",IF(COUNTIF(G85:G96,"已完成")=COUNTA(G85:G96),"已完成","进行中"))</f>
        <v/>
      </c>
      <c r="H84" s="129" t="n"/>
      <c r="I84" s="129" t="n"/>
      <c r="J84" s="128" t="n"/>
      <c r="K84" s="128" t="n"/>
      <c r="L84" s="128" t="n"/>
      <c r="M84" s="130" t="inlineStr">
        <is>
          <t>W53-W66</t>
        </is>
      </c>
      <c r="N84" s="131" t="n">
        <v>46631</v>
      </c>
      <c r="O84" s="131">
        <f>_xlfn.WORKDAY.INTL(N84,P84-1,1,法定节假日!$B$2:$B$67)</f>
        <v/>
      </c>
      <c r="P84" s="128" t="n">
        <v>59</v>
      </c>
      <c r="Q84" s="128" t="n"/>
      <c r="R84" s="129" t="inlineStr">
        <is>
          <t>周年根</t>
        </is>
      </c>
      <c r="S84" s="129" t="n"/>
      <c r="T84" s="129" t="n"/>
      <c r="U84" s="132" t="n"/>
      <c r="V84" s="132" t="n"/>
      <c r="W84" s="132" t="n"/>
      <c r="X84" s="132" t="n"/>
      <c r="Y84" s="132" t="n"/>
      <c r="Z84" s="132" t="n"/>
      <c r="AA84" s="132" t="n"/>
      <c r="AB84" s="132" t="n"/>
      <c r="AC84" s="132" t="n"/>
      <c r="AD84" s="132" t="n"/>
      <c r="AE84" s="132" t="n"/>
      <c r="AF84" s="132" t="n"/>
      <c r="AG84" s="132" t="n"/>
      <c r="AH84" s="132" t="n"/>
      <c r="AI84" s="132" t="n"/>
      <c r="AJ84" s="132" t="n"/>
      <c r="AK84" s="132" t="n"/>
      <c r="AL84" s="132" t="n"/>
      <c r="AM84" s="132" t="n"/>
      <c r="AN84" s="132" t="n"/>
      <c r="AO84" s="132" t="n"/>
    </row>
    <row r="85" outlineLevel="1" ht="20" customHeight="1" s="2">
      <c r="A85" s="24" t="n"/>
      <c r="B85" s="17" t="n">
        <v>5.1</v>
      </c>
      <c r="C85" s="18" t="n"/>
      <c r="D85" s="145" t="inlineStr">
        <is>
          <t>辅导与验证</t>
        </is>
      </c>
      <c r="E85" s="22" t="n"/>
      <c r="F85" s="22" t="n"/>
      <c r="G85" s="20">
        <f>上线运行WBS!S3</f>
        <v/>
      </c>
      <c r="H85" s="19" t="n"/>
      <c r="I85" s="19" t="n"/>
      <c r="J85" s="20" t="n"/>
      <c r="K85" s="20" t="n"/>
      <c r="L85" s="20" t="n"/>
      <c r="M85" s="42" t="inlineStr">
        <is>
          <t>W53-W64</t>
        </is>
      </c>
      <c r="N85" s="134">
        <f>N84</f>
        <v/>
      </c>
      <c r="O85" s="134">
        <f>_xlfn.WORKDAY.INTL(N85,P85-1,1,法定节假日!$B$2:$B$67)</f>
        <v/>
      </c>
      <c r="P85" s="20" t="n">
        <v>52</v>
      </c>
      <c r="Q85" s="20" t="n"/>
      <c r="R85" s="19" t="inlineStr">
        <is>
          <t>周年根</t>
        </is>
      </c>
      <c r="S85" s="19" t="n"/>
      <c r="T85" s="19" t="n"/>
      <c r="U85" s="135" t="n"/>
      <c r="V85" s="135" t="n"/>
      <c r="W85" s="135" t="n"/>
      <c r="X85" s="135" t="n"/>
      <c r="Y85" s="135" t="n"/>
      <c r="Z85" s="135" t="n"/>
      <c r="AA85" s="135" t="n"/>
      <c r="AB85" s="135" t="n"/>
      <c r="AC85" s="135" t="n"/>
      <c r="AD85" s="135" t="n"/>
      <c r="AE85" s="135" t="n"/>
      <c r="AF85" s="135" t="n"/>
      <c r="AG85" s="135" t="n"/>
      <c r="AH85" s="135" t="n"/>
      <c r="AI85" s="135" t="n"/>
      <c r="AJ85" s="135" t="n"/>
      <c r="AK85" s="135" t="n"/>
      <c r="AL85" s="135" t="n"/>
      <c r="AM85" s="135" t="n"/>
      <c r="AN85" s="135" t="n"/>
      <c r="AO85" s="135" t="n"/>
    </row>
    <row r="86" ht="20" customHeight="1" s="2">
      <c r="A86" s="126" t="inlineStr">
        <is>
          <t>★</t>
        </is>
      </c>
      <c r="B86" s="126" t="n"/>
      <c r="C86" s="126" t="inlineStr">
        <is>
          <t>5.1.1</t>
        </is>
      </c>
      <c r="D86" s="126" t="inlineStr">
        <is>
          <t>验收策略确认</t>
        </is>
      </c>
      <c r="E86" s="127" t="n"/>
      <c r="F86" s="127" t="n"/>
      <c r="G86" s="128">
        <f>上线运行WBS!S4</f>
        <v/>
      </c>
      <c r="H86" s="129" t="n"/>
      <c r="I86" s="129" t="n"/>
      <c r="J86" s="128" t="n"/>
      <c r="K86" s="128" t="n"/>
      <c r="L86" s="128" t="inlineStr">
        <is>
          <t>√</t>
        </is>
      </c>
      <c r="M86" s="130" t="inlineStr">
        <is>
          <t>W53-W64</t>
        </is>
      </c>
      <c r="N86" s="131">
        <f>N85</f>
        <v/>
      </c>
      <c r="O86" s="131">
        <f>_xlfn.WORKDAY.INTL(N86,P86-1,1,法定节假日!$B$2:$B$67)</f>
        <v/>
      </c>
      <c r="P86" s="128" t="n">
        <v>52</v>
      </c>
      <c r="Q86" s="128" t="n"/>
      <c r="R86" s="129" t="inlineStr">
        <is>
          <t>周年根</t>
        </is>
      </c>
      <c r="S86" s="129" t="n"/>
      <c r="T86" s="129" t="inlineStr">
        <is>
          <t>《会议纪要》</t>
        </is>
      </c>
      <c r="U86" s="135" t="n"/>
      <c r="V86" s="135" t="n"/>
      <c r="W86" s="135" t="n"/>
      <c r="X86" s="135" t="n"/>
      <c r="Y86" s="135" t="n"/>
      <c r="Z86" s="135" t="n"/>
      <c r="AA86" s="135" t="n"/>
      <c r="AB86" s="135" t="n"/>
      <c r="AC86" s="135" t="n"/>
      <c r="AD86" s="135" t="n"/>
      <c r="AE86" s="135" t="n"/>
      <c r="AF86" s="135" t="n"/>
      <c r="AG86" s="135" t="n"/>
      <c r="AH86" s="135" t="n"/>
      <c r="AI86" s="135" t="n"/>
      <c r="AJ86" s="135" t="n"/>
      <c r="AK86" s="135" t="n"/>
      <c r="AL86" s="135" t="n"/>
      <c r="AM86" s="135" t="n"/>
      <c r="AN86" s="135" t="n"/>
      <c r="AO86" s="135" t="n"/>
    </row>
    <row r="87" ht="20" customHeight="1" s="2">
      <c r="A87" s="126" t="inlineStr">
        <is>
          <t>★</t>
        </is>
      </c>
      <c r="B87" s="126" t="n"/>
      <c r="C87" s="126" t="inlineStr">
        <is>
          <t>5.1.2</t>
        </is>
      </c>
      <c r="D87" s="136" t="inlineStr">
        <is>
          <t>用户应用指导与定期复盘</t>
        </is>
      </c>
      <c r="E87" s="127" t="n"/>
      <c r="F87" s="127" t="n"/>
      <c r="G87" s="128">
        <f>上线运行WBS!S5</f>
        <v/>
      </c>
      <c r="H87" s="129" t="n"/>
      <c r="I87" s="129" t="n"/>
      <c r="J87" s="128" t="n"/>
      <c r="K87" s="128" t="n"/>
      <c r="L87" s="128" t="n"/>
      <c r="M87" s="130" t="inlineStr">
        <is>
          <t>W53-W64</t>
        </is>
      </c>
      <c r="N87" s="131">
        <f>N86</f>
        <v/>
      </c>
      <c r="O87" s="131">
        <f>_xlfn.WORKDAY.INTL(N87,P87-1,1,法定节假日!$B$2:$B$67)</f>
        <v/>
      </c>
      <c r="P87" s="128" t="n">
        <v>52</v>
      </c>
      <c r="Q87" s="128" t="n"/>
      <c r="R87" s="129" t="inlineStr">
        <is>
          <t>陈本鸿</t>
        </is>
      </c>
      <c r="S87" s="129" t="n"/>
      <c r="T87" s="129" t="inlineStr">
        <is>
          <t>《项目问题跟踪表》《复盘总结报告》</t>
        </is>
      </c>
      <c r="U87" s="135" t="n"/>
      <c r="V87" s="135" t="n"/>
      <c r="W87" s="135" t="n"/>
      <c r="X87" s="135" t="n"/>
      <c r="Y87" s="135" t="n"/>
      <c r="Z87" s="135" t="n"/>
      <c r="AA87" s="135" t="n"/>
      <c r="AB87" s="135" t="n"/>
      <c r="AC87" s="135" t="n"/>
      <c r="AD87" s="135" t="n"/>
      <c r="AE87" s="135" t="n"/>
      <c r="AF87" s="135" t="n"/>
      <c r="AG87" s="135" t="n"/>
      <c r="AH87" s="135" t="n"/>
      <c r="AI87" s="135" t="n"/>
      <c r="AJ87" s="135" t="n"/>
      <c r="AK87" s="135" t="n"/>
      <c r="AL87" s="135" t="n"/>
      <c r="AM87" s="135" t="n"/>
      <c r="AN87" s="135" t="n"/>
      <c r="AO87" s="135" t="n"/>
    </row>
    <row r="88" ht="20" customHeight="1" s="2">
      <c r="A88" s="126" t="inlineStr">
        <is>
          <t>★</t>
        </is>
      </c>
      <c r="B88" s="126" t="n"/>
      <c r="C88" s="126" t="inlineStr">
        <is>
          <t>5.1.3</t>
        </is>
      </c>
      <c r="D88" s="136" t="inlineStr">
        <is>
          <t>实施文档基线确认</t>
        </is>
      </c>
      <c r="E88" s="127" t="n"/>
      <c r="F88" s="127" t="n"/>
      <c r="G88" s="128">
        <f>上线运行WBS!S9</f>
        <v/>
      </c>
      <c r="H88" s="129" t="n"/>
      <c r="I88" s="129" t="n"/>
      <c r="J88" s="129" t="n"/>
      <c r="K88" s="128" t="n"/>
      <c r="L88" s="128" t="n"/>
      <c r="M88" s="130" t="inlineStr">
        <is>
          <t>W53-W64</t>
        </is>
      </c>
      <c r="N88" s="131">
        <f>N87</f>
        <v/>
      </c>
      <c r="O88" s="131">
        <f>_xlfn.WORKDAY.INTL(N88,P88-1,1,法定节假日!$B$2:$B$67)</f>
        <v/>
      </c>
      <c r="P88" s="128" t="n">
        <v>52</v>
      </c>
      <c r="Q88" s="128" t="n"/>
      <c r="R88" s="129" t="inlineStr">
        <is>
          <t>陈本鸿</t>
        </is>
      </c>
      <c r="S88" s="129" t="n"/>
      <c r="T88" s="129" t="inlineStr">
        <is>
          <t>《交付文档清单》</t>
        </is>
      </c>
      <c r="U88" s="135" t="n"/>
      <c r="V88" s="135" t="n"/>
      <c r="W88" s="135" t="n"/>
      <c r="X88" s="135" t="n"/>
      <c r="Y88" s="135" t="n"/>
      <c r="Z88" s="135" t="n"/>
      <c r="AA88" s="135" t="n"/>
      <c r="AB88" s="135" t="n"/>
      <c r="AC88" s="135" t="n"/>
      <c r="AD88" s="135" t="n"/>
      <c r="AE88" s="135" t="n"/>
      <c r="AF88" s="135" t="n"/>
      <c r="AG88" s="135" t="n"/>
      <c r="AH88" s="135" t="n"/>
      <c r="AI88" s="135" t="n"/>
      <c r="AJ88" s="135" t="n"/>
      <c r="AK88" s="135" t="n"/>
      <c r="AL88" s="135" t="n"/>
      <c r="AM88" s="135" t="n"/>
      <c r="AN88" s="135" t="n"/>
      <c r="AO88" s="135" t="n"/>
    </row>
    <row r="89" ht="20" customHeight="1" s="2">
      <c r="A89" s="126" t="inlineStr">
        <is>
          <t>★</t>
        </is>
      </c>
      <c r="B89" s="126" t="n"/>
      <c r="C89" s="126" t="inlineStr">
        <is>
          <t>5.1.4</t>
        </is>
      </c>
      <c r="D89" s="136" t="inlineStr">
        <is>
          <t>项目验收评审</t>
        </is>
      </c>
      <c r="E89" s="127" t="n"/>
      <c r="F89" s="127" t="n"/>
      <c r="G89" s="128">
        <f>上线运行WBS!S14</f>
        <v/>
      </c>
      <c r="H89" s="129" t="n"/>
      <c r="I89" s="129" t="n"/>
      <c r="J89" s="128" t="inlineStr">
        <is>
          <t>√</t>
        </is>
      </c>
      <c r="K89" s="128" t="inlineStr">
        <is>
          <t>√</t>
        </is>
      </c>
      <c r="L89" s="128" t="inlineStr">
        <is>
          <t>√</t>
        </is>
      </c>
      <c r="M89" s="130" t="inlineStr">
        <is>
          <t>W53-W64</t>
        </is>
      </c>
      <c r="N89" s="131">
        <f>N88</f>
        <v/>
      </c>
      <c r="O89" s="131">
        <f>_xlfn.WORKDAY.INTL(N89,P89-1,1,法定节假日!$B$2:$B$67)</f>
        <v/>
      </c>
      <c r="P89" s="128" t="n">
        <v>52</v>
      </c>
      <c r="Q89" s="128" t="n"/>
      <c r="R89" s="129" t="inlineStr">
        <is>
          <t>周年根</t>
        </is>
      </c>
      <c r="S89" s="129" t="n"/>
      <c r="T89" s="129" t="inlineStr">
        <is>
          <t>《项目验收总结报告》《验收备忘》</t>
        </is>
      </c>
      <c r="U89" s="135" t="n"/>
      <c r="V89" s="135" t="n"/>
      <c r="W89" s="135" t="n"/>
      <c r="X89" s="135" t="n"/>
      <c r="Y89" s="135" t="n"/>
      <c r="Z89" s="135" t="n"/>
      <c r="AA89" s="135" t="n"/>
      <c r="AB89" s="135" t="n"/>
      <c r="AC89" s="135" t="n"/>
      <c r="AD89" s="135" t="n"/>
      <c r="AE89" s="135" t="n"/>
      <c r="AF89" s="135" t="n"/>
      <c r="AG89" s="135" t="n"/>
      <c r="AH89" s="135" t="n"/>
      <c r="AI89" s="135" t="n"/>
      <c r="AJ89" s="135" t="n"/>
      <c r="AK89" s="135" t="n"/>
      <c r="AL89" s="135" t="n"/>
      <c r="AM89" s="135" t="n"/>
      <c r="AN89" s="135" t="n"/>
      <c r="AO89" s="135" t="n"/>
    </row>
    <row r="90" ht="20" customHeight="1" s="2">
      <c r="A90" s="126" t="inlineStr">
        <is>
          <t>★</t>
        </is>
      </c>
      <c r="B90" s="126" t="n"/>
      <c r="C90" s="126" t="inlineStr">
        <is>
          <t>5.1.5</t>
        </is>
      </c>
      <c r="D90" s="136" t="inlineStr">
        <is>
          <t>召开总结表彰大会</t>
        </is>
      </c>
      <c r="E90" s="127" t="n"/>
      <c r="F90" s="127" t="n"/>
      <c r="G90" s="128">
        <f>上线运行WBS!S17</f>
        <v/>
      </c>
      <c r="H90" s="129" t="n"/>
      <c r="I90" s="129" t="n"/>
      <c r="J90" s="128" t="n"/>
      <c r="K90" s="128" t="n"/>
      <c r="L90" s="128" t="inlineStr">
        <is>
          <t>√</t>
        </is>
      </c>
      <c r="M90" s="130" t="inlineStr">
        <is>
          <t>W53-W64</t>
        </is>
      </c>
      <c r="N90" s="131">
        <f>N89</f>
        <v/>
      </c>
      <c r="O90" s="131">
        <f>_xlfn.WORKDAY.INTL(N90,P90-1,1,法定节假日!$B$2:$B$67)</f>
        <v/>
      </c>
      <c r="P90" s="128" t="n">
        <v>52</v>
      </c>
      <c r="Q90" s="128" t="n"/>
      <c r="R90" s="129" t="inlineStr">
        <is>
          <t>周年根</t>
        </is>
      </c>
      <c r="S90" s="129" t="n"/>
      <c r="T90" s="129" t="inlineStr">
        <is>
          <t>《总结表彰PPT》</t>
        </is>
      </c>
      <c r="U90" s="135" t="n"/>
      <c r="V90" s="135" t="n"/>
      <c r="W90" s="135" t="n"/>
      <c r="X90" s="135" t="n"/>
      <c r="Y90" s="135" t="n"/>
      <c r="Z90" s="135" t="n"/>
      <c r="AA90" s="135" t="n"/>
      <c r="AB90" s="135" t="n"/>
      <c r="AC90" s="135" t="n"/>
      <c r="AD90" s="135" t="n"/>
      <c r="AE90" s="135" t="n"/>
      <c r="AF90" s="135" t="n"/>
      <c r="AG90" s="135" t="n"/>
      <c r="AH90" s="135" t="n"/>
      <c r="AI90" s="135" t="n"/>
      <c r="AJ90" s="135" t="n"/>
      <c r="AK90" s="135" t="n"/>
      <c r="AL90" s="135" t="n"/>
      <c r="AM90" s="135" t="n"/>
      <c r="AN90" s="135" t="n"/>
      <c r="AO90" s="135" t="n"/>
    </row>
    <row r="91" ht="20" customHeight="1" s="2">
      <c r="A91" s="126" t="inlineStr">
        <is>
          <t>★</t>
        </is>
      </c>
      <c r="B91" s="126" t="n"/>
      <c r="C91" s="126" t="inlineStr">
        <is>
          <t>5.1.6</t>
        </is>
      </c>
      <c r="D91" s="136" t="inlineStr">
        <is>
          <t>签署验收确认单</t>
        </is>
      </c>
      <c r="E91" s="127" t="n"/>
      <c r="F91" s="127" t="n"/>
      <c r="G91" s="128">
        <f>上线运行WBS!S21</f>
        <v/>
      </c>
      <c r="H91" s="129" t="n"/>
      <c r="I91" s="128" t="inlineStr">
        <is>
          <t>√</t>
        </is>
      </c>
      <c r="J91" s="128" t="n"/>
      <c r="K91" s="128" t="n"/>
      <c r="L91" s="128" t="inlineStr">
        <is>
          <t>√</t>
        </is>
      </c>
      <c r="M91" s="130" t="inlineStr">
        <is>
          <t>W53-W64</t>
        </is>
      </c>
      <c r="N91" s="131">
        <f>N90</f>
        <v/>
      </c>
      <c r="O91" s="131">
        <f>_xlfn.WORKDAY.INTL(N91,P91-1,1,法定节假日!$B$2:$B$67)</f>
        <v/>
      </c>
      <c r="P91" s="128" t="n">
        <v>52</v>
      </c>
      <c r="Q91" s="128" t="n"/>
      <c r="R91" s="129" t="inlineStr">
        <is>
          <t>周年根</t>
        </is>
      </c>
      <c r="S91" s="129" t="n"/>
      <c r="T91" s="129" t="inlineStr">
        <is>
          <t>《项目验收确认单》</t>
        </is>
      </c>
      <c r="U91" s="135" t="n"/>
      <c r="V91" s="135" t="n"/>
      <c r="W91" s="135" t="n"/>
      <c r="X91" s="135" t="n"/>
      <c r="Y91" s="135" t="n"/>
      <c r="Z91" s="135" t="n"/>
      <c r="AA91" s="135" t="n"/>
      <c r="AB91" s="135" t="n"/>
      <c r="AC91" s="135" t="n"/>
      <c r="AD91" s="135" t="n"/>
      <c r="AE91" s="135" t="n"/>
      <c r="AF91" s="135" t="n"/>
      <c r="AG91" s="135" t="n"/>
      <c r="AH91" s="135" t="n"/>
      <c r="AI91" s="135" t="n"/>
      <c r="AJ91" s="135" t="n"/>
      <c r="AK91" s="135" t="n"/>
      <c r="AL91" s="135" t="n"/>
      <c r="AM91" s="135" t="n"/>
      <c r="AN91" s="135" t="n"/>
      <c r="AO91" s="135" t="n"/>
    </row>
    <row r="92" outlineLevel="1" ht="20" customHeight="1" s="2">
      <c r="A92" s="24" t="n"/>
      <c r="B92" s="17" t="n">
        <v>5.2</v>
      </c>
      <c r="C92" s="18" t="n"/>
      <c r="D92" s="145" t="inlineStr">
        <is>
          <t>项目收尾</t>
        </is>
      </c>
      <c r="E92" s="22" t="n"/>
      <c r="F92" s="22" t="n"/>
      <c r="G92" s="20">
        <f>上线运行WBS!S23</f>
        <v/>
      </c>
      <c r="H92" s="19" t="n"/>
      <c r="I92" s="19" t="n"/>
      <c r="J92" s="20" t="n"/>
      <c r="K92" s="20" t="n"/>
      <c r="L92" s="20" t="n"/>
      <c r="M92" s="42" t="inlineStr">
        <is>
          <t>W65-W66</t>
        </is>
      </c>
      <c r="N92" s="134" t="n">
        <v>46713</v>
      </c>
      <c r="O92" s="134">
        <f>_xlfn.WORKDAY.INTL(N92,P92-1,1,法定节假日!$B$2:$B$67)</f>
        <v/>
      </c>
      <c r="P92" s="20" t="n">
        <v>7</v>
      </c>
      <c r="Q92" s="20" t="inlineStr">
        <is>
          <t>是</t>
        </is>
      </c>
      <c r="R92" s="19" t="inlineStr">
        <is>
          <t>周年根</t>
        </is>
      </c>
      <c r="S92" s="19" t="n"/>
      <c r="T92" s="19" t="n"/>
      <c r="U92" s="135" t="n"/>
      <c r="V92" s="135" t="n"/>
      <c r="W92" s="135" t="n"/>
      <c r="X92" s="135" t="n"/>
      <c r="Y92" s="135" t="n"/>
      <c r="Z92" s="135" t="n"/>
      <c r="AA92" s="135" t="n"/>
      <c r="AB92" s="135" t="n"/>
      <c r="AC92" s="135" t="n"/>
      <c r="AD92" s="135" t="n"/>
      <c r="AE92" s="135" t="n"/>
      <c r="AF92" s="135" t="n"/>
      <c r="AG92" s="135" t="n"/>
      <c r="AH92" s="135" t="n"/>
      <c r="AI92" s="135" t="n"/>
      <c r="AJ92" s="135" t="n"/>
      <c r="AK92" s="135" t="n"/>
      <c r="AL92" s="135" t="n"/>
      <c r="AM92" s="135" t="n"/>
      <c r="AN92" s="135" t="n"/>
      <c r="AO92" s="135" t="n"/>
    </row>
    <row r="93" ht="20" customHeight="1" s="2">
      <c r="A93" s="126" t="inlineStr">
        <is>
          <t>★</t>
        </is>
      </c>
      <c r="B93" s="126" t="n"/>
      <c r="C93" s="126" t="inlineStr">
        <is>
          <t>5.2.1</t>
        </is>
      </c>
      <c r="D93" s="136" t="inlineStr">
        <is>
          <t>移交项目资料给客户</t>
        </is>
      </c>
      <c r="E93" s="127" t="n"/>
      <c r="F93" s="127" t="n"/>
      <c r="G93" s="128">
        <f>上线运行WBS!S24</f>
        <v/>
      </c>
      <c r="H93" s="129" t="n"/>
      <c r="I93" s="129" t="n"/>
      <c r="J93" s="128" t="n"/>
      <c r="K93" s="128" t="n"/>
      <c r="L93" s="128" t="n"/>
      <c r="M93" s="130" t="inlineStr">
        <is>
          <t>W65-W66</t>
        </is>
      </c>
      <c r="N93" s="131">
        <f>N92</f>
        <v/>
      </c>
      <c r="O93" s="131">
        <f>_xlfn.WORKDAY.INTL(N93,P93-1,1,法定节假日!$B$2:$B$67)</f>
        <v/>
      </c>
      <c r="P93" s="128" t="n">
        <v>7</v>
      </c>
      <c r="Q93" s="128" t="n"/>
      <c r="R93" s="129" t="inlineStr">
        <is>
          <t>陈本鸿</t>
        </is>
      </c>
      <c r="S93" s="129" t="n"/>
      <c r="T93" s="129" t="n"/>
      <c r="U93" s="135" t="n"/>
      <c r="V93" s="135" t="n"/>
      <c r="W93" s="135" t="n"/>
      <c r="X93" s="135" t="n"/>
      <c r="Y93" s="135" t="n"/>
      <c r="Z93" s="135" t="n"/>
      <c r="AA93" s="135" t="n"/>
      <c r="AB93" s="135" t="n"/>
      <c r="AC93" s="135" t="n"/>
      <c r="AD93" s="135" t="n"/>
      <c r="AE93" s="135" t="n"/>
      <c r="AF93" s="135" t="n"/>
      <c r="AG93" s="135" t="n"/>
      <c r="AH93" s="135" t="n"/>
      <c r="AI93" s="135" t="n"/>
      <c r="AJ93" s="135" t="n"/>
      <c r="AK93" s="135" t="n"/>
      <c r="AL93" s="135" t="n"/>
      <c r="AM93" s="135" t="n"/>
      <c r="AN93" s="135" t="n"/>
      <c r="AO93" s="135" t="n"/>
    </row>
    <row r="94" ht="20" customHeight="1" s="2">
      <c r="A94" s="126" t="inlineStr">
        <is>
          <t>★</t>
        </is>
      </c>
      <c r="B94" s="126" t="n"/>
      <c r="C94" s="126" t="inlineStr">
        <is>
          <t>5.2.2</t>
        </is>
      </c>
      <c r="D94" s="136" t="inlineStr">
        <is>
          <t>内部分享与总结归档</t>
        </is>
      </c>
      <c r="E94" s="127" t="n"/>
      <c r="F94" s="127" t="n"/>
      <c r="G94" s="128">
        <f>上线运行WBS!S25</f>
        <v/>
      </c>
      <c r="H94" s="129" t="n"/>
      <c r="I94" s="129" t="n"/>
      <c r="J94" s="128" t="n"/>
      <c r="K94" s="128" t="n"/>
      <c r="L94" s="128" t="inlineStr">
        <is>
          <t>√</t>
        </is>
      </c>
      <c r="M94" s="130" t="inlineStr">
        <is>
          <t>W65-W66</t>
        </is>
      </c>
      <c r="N94" s="131">
        <f>N93</f>
        <v/>
      </c>
      <c r="O94" s="131">
        <f>_xlfn.WORKDAY.INTL(N94,P94-1,1,法定节假日!$B$2:$B$67)</f>
        <v/>
      </c>
      <c r="P94" s="128" t="n">
        <v>7</v>
      </c>
      <c r="Q94" s="128" t="n"/>
      <c r="R94" s="129" t="inlineStr">
        <is>
          <t>陈本鸿</t>
        </is>
      </c>
      <c r="S94" s="129" t="n"/>
      <c r="T94" s="129" t="inlineStr">
        <is>
          <t>《系统功能分享PPT》《项目组工作总结PPT》</t>
        </is>
      </c>
      <c r="U94" s="135" t="n"/>
      <c r="V94" s="135" t="n"/>
      <c r="W94" s="135" t="n"/>
      <c r="X94" s="135" t="n"/>
      <c r="Y94" s="135" t="n"/>
      <c r="Z94" s="135" t="n"/>
      <c r="AA94" s="135" t="n"/>
      <c r="AB94" s="135" t="n"/>
      <c r="AC94" s="135" t="n"/>
      <c r="AD94" s="135" t="n"/>
      <c r="AE94" s="135" t="n"/>
      <c r="AF94" s="135" t="n"/>
      <c r="AG94" s="135" t="n"/>
      <c r="AH94" s="135" t="n"/>
      <c r="AI94" s="135" t="n"/>
      <c r="AJ94" s="135" t="n"/>
      <c r="AK94" s="135" t="n"/>
      <c r="AL94" s="135" t="n"/>
      <c r="AM94" s="135" t="n"/>
      <c r="AN94" s="135" t="n"/>
      <c r="AO94" s="135" t="n"/>
    </row>
    <row r="95" ht="20" customHeight="1" s="2">
      <c r="A95" s="126" t="inlineStr">
        <is>
          <t>★</t>
        </is>
      </c>
      <c r="B95" s="126" t="n"/>
      <c r="C95" s="126" t="inlineStr">
        <is>
          <t>5.2.3</t>
        </is>
      </c>
      <c r="D95" s="136" t="inlineStr">
        <is>
          <t>奖惩兑现与团队解散</t>
        </is>
      </c>
      <c r="E95" s="127" t="n"/>
      <c r="F95" s="127" t="n"/>
      <c r="G95" s="128">
        <f>上线运行WBS!S29</f>
        <v/>
      </c>
      <c r="H95" s="129" t="n"/>
      <c r="I95" s="129" t="n"/>
      <c r="J95" s="128" t="n"/>
      <c r="K95" s="128" t="n"/>
      <c r="L95" s="128" t="n"/>
      <c r="M95" s="130" t="inlineStr">
        <is>
          <t>W65-W66</t>
        </is>
      </c>
      <c r="N95" s="131">
        <f>N94</f>
        <v/>
      </c>
      <c r="O95" s="131">
        <f>_xlfn.WORKDAY.INTL(N95,P95-1,1,法定节假日!$B$2:$B$67)</f>
        <v/>
      </c>
      <c r="P95" s="128" t="n">
        <v>7</v>
      </c>
      <c r="Q95" s="128" t="n"/>
      <c r="R95" s="129" t="inlineStr">
        <is>
          <t>周年根</t>
        </is>
      </c>
      <c r="S95" s="129" t="n"/>
      <c r="T95" s="129" t="n"/>
      <c r="U95" s="135" t="n"/>
      <c r="V95" s="135" t="n"/>
      <c r="W95" s="135" t="n"/>
      <c r="X95" s="135" t="n"/>
      <c r="Y95" s="135" t="n"/>
      <c r="Z95" s="135" t="n"/>
      <c r="AA95" s="135" t="n"/>
      <c r="AB95" s="135" t="n"/>
      <c r="AC95" s="135" t="n"/>
      <c r="AD95" s="135" t="n"/>
      <c r="AE95" s="135" t="n"/>
      <c r="AF95" s="135" t="n"/>
      <c r="AG95" s="135" t="n"/>
      <c r="AH95" s="135" t="n"/>
      <c r="AI95" s="135" t="n"/>
      <c r="AJ95" s="135" t="n"/>
      <c r="AK95" s="135" t="n"/>
      <c r="AL95" s="135" t="n"/>
      <c r="AM95" s="135" t="n"/>
      <c r="AN95" s="135" t="n"/>
      <c r="AO95" s="135" t="n"/>
    </row>
    <row r="96" ht="20" customHeight="1" s="2">
      <c r="A96" s="126" t="inlineStr">
        <is>
          <t>★</t>
        </is>
      </c>
      <c r="B96" s="126" t="n"/>
      <c r="C96" s="126" t="inlineStr">
        <is>
          <t>5.2.4</t>
        </is>
      </c>
      <c r="D96" s="136" t="inlineStr">
        <is>
          <t>实施转持续服务交接</t>
        </is>
      </c>
      <c r="E96" s="127" t="n"/>
      <c r="F96" s="127" t="n"/>
      <c r="G96" s="128">
        <f>上线运行WBS!S30</f>
        <v/>
      </c>
      <c r="H96" s="129" t="n"/>
      <c r="I96" s="129" t="n"/>
      <c r="J96" s="128" t="n"/>
      <c r="K96" s="128" t="n"/>
      <c r="L96" s="128" t="inlineStr">
        <is>
          <t>√</t>
        </is>
      </c>
      <c r="M96" s="130" t="inlineStr">
        <is>
          <t>W65-W66</t>
        </is>
      </c>
      <c r="N96" s="131">
        <f>N95</f>
        <v/>
      </c>
      <c r="O96" s="131">
        <f>_xlfn.WORKDAY.INTL(N96,P96-1,1,法定节假日!$B$2:$B$67)</f>
        <v/>
      </c>
      <c r="P96" s="128" t="n">
        <v>7</v>
      </c>
      <c r="Q96" s="128" t="n"/>
      <c r="R96" s="129" t="inlineStr">
        <is>
          <t>陈本鸿</t>
        </is>
      </c>
      <c r="S96" s="129" t="n"/>
      <c r="T96" s="129" t="n"/>
      <c r="U96" s="135" t="n"/>
      <c r="V96" s="135" t="n"/>
      <c r="W96" s="135" t="n"/>
      <c r="X96" s="135" t="n"/>
      <c r="Y96" s="135" t="n"/>
      <c r="Z96" s="135" t="n"/>
      <c r="AA96" s="135" t="n"/>
      <c r="AB96" s="135" t="n"/>
      <c r="AC96" s="135" t="n"/>
      <c r="AD96" s="135" t="n"/>
      <c r="AE96" s="135" t="n"/>
      <c r="AF96" s="135" t="n"/>
      <c r="AG96" s="135" t="n"/>
      <c r="AH96" s="135" t="n"/>
      <c r="AI96" s="135" t="n"/>
      <c r="AJ96" s="135" t="n"/>
      <c r="AK96" s="135" t="n"/>
      <c r="AL96" s="135" t="n"/>
      <c r="AM96" s="135" t="n"/>
      <c r="AN96" s="135" t="n"/>
      <c r="AO96" s="135" t="n"/>
    </row>
    <row r="97" ht="15" customHeight="1" s="2">
      <c r="D97" s="89" t="n"/>
      <c r="N97" s="146" t="n"/>
      <c r="O97" s="146" t="n"/>
      <c r="P97" s="147" t="n"/>
      <c r="U97" s="135" t="n"/>
      <c r="V97" s="135" t="n"/>
      <c r="W97" s="135" t="n"/>
      <c r="X97" s="135" t="n"/>
      <c r="Y97" s="135" t="n"/>
      <c r="Z97" s="135" t="n"/>
      <c r="AA97" s="135" t="n"/>
      <c r="AB97" s="135" t="n"/>
      <c r="AC97" s="135" t="n"/>
      <c r="AD97" s="135" t="n"/>
      <c r="AE97" s="135" t="n"/>
      <c r="AF97" s="135" t="n"/>
      <c r="AG97" s="135" t="n"/>
      <c r="AH97" s="135" t="n"/>
      <c r="AI97" s="135" t="n"/>
      <c r="AJ97" s="135" t="n"/>
      <c r="AK97" s="135" t="n"/>
      <c r="AL97" s="135" t="n"/>
      <c r="AM97" s="135" t="n"/>
      <c r="AN97" s="135" t="n"/>
      <c r="AO97" s="135" t="n"/>
    </row>
  </sheetData>
  <mergeCells count="33">
    <mergeCell ref="RX1:TB1"/>
    <mergeCell ref="C1:C2"/>
    <mergeCell ref="E1:E2"/>
    <mergeCell ref="BN1:CR1"/>
    <mergeCell ref="K1:K2"/>
    <mergeCell ref="M1:M2"/>
    <mergeCell ref="Q1:Q2"/>
    <mergeCell ref="KW1:LZ1"/>
    <mergeCell ref="OK1:PN1"/>
    <mergeCell ref="MA1:NE1"/>
    <mergeCell ref="HI1:IM1"/>
    <mergeCell ref="B1:B2"/>
    <mergeCell ref="L1:L2"/>
    <mergeCell ref="N1:O1"/>
    <mergeCell ref="T1:T2"/>
    <mergeCell ref="JR1:KV1"/>
    <mergeCell ref="CS1:DV1"/>
    <mergeCell ref="FB1:GF1"/>
    <mergeCell ref="GG1:HH1"/>
    <mergeCell ref="U1:AI1"/>
    <mergeCell ref="QT1:RW1"/>
    <mergeCell ref="AJ1:BM1"/>
    <mergeCell ref="I1:I2"/>
    <mergeCell ref="IN1:JQ1"/>
    <mergeCell ref="PO1:QS1"/>
    <mergeCell ref="G1:H1"/>
    <mergeCell ref="D1:D2"/>
    <mergeCell ref="F1:F2"/>
    <mergeCell ref="NF1:OJ1"/>
    <mergeCell ref="J1:J2"/>
    <mergeCell ref="R1:S1"/>
    <mergeCell ref="DW1:FA1"/>
    <mergeCell ref="A1:A2"/>
  </mergeCells>
  <conditionalFormatting sqref="U3:TB96">
    <cfRule type="expression" priority="1" dxfId="0">
      <formula>AND(U$2=$N3, $I3&lt;&gt;"")</formula>
    </cfRule>
    <cfRule type="expression" priority="2" dxfId="1">
      <formula>AND(U$2&gt;=$N3, U$2&lt;=$O3, $G3="已完成")</formula>
    </cfRule>
    <cfRule type="expression" priority="3" dxfId="2">
      <formula>AND(U$2&gt;=$N3, U$2&lt;=$O3, $A3&lt;&gt;"")</formula>
    </cfRule>
    <cfRule type="expression" priority="4" dxfId="3">
      <formula>AND(U$2&gt;=$N3, U$2&lt;=$O3, $B3&lt;&gt;"")</formula>
    </cfRule>
    <cfRule type="expression" priority="5" dxfId="4">
      <formula>AND(U$2&gt;=$N3, U$2&lt;=$O3)</formula>
    </cfRule>
    <cfRule type="expression" priority="6" dxfId="5">
      <formula>WEEKDAY(U$2, 2)&gt;5</formula>
    </cfRule>
  </conditionalFormatting>
  <dataValidations count="1">
    <dataValidation sqref="Q3:Q96" showDropDown="0" showInputMessage="1" showErrorMessage="1" allowBlank="1" type="list">
      <formula1>"是"</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U41"/>
  <sheetViews>
    <sheetView topLeftCell="B3" workbookViewId="0">
      <selection activeCell="F22" sqref="F22"/>
    </sheetView>
  </sheetViews>
  <sheetFormatPr baseColWidth="8" defaultColWidth="8.8359375" defaultRowHeight="14" customHeight="1" outlineLevelCol="0"/>
  <cols>
    <col width="8.1640625" customWidth="1" style="1" min="1" max="1"/>
    <col width="8.8359375" customWidth="1" style="1" min="2" max="2"/>
    <col width="17.8359375" customWidth="1" style="1" min="3" max="3"/>
    <col width="23" customWidth="1" style="1" min="4" max="4"/>
    <col width="14.8359375" customWidth="1" style="1" min="5" max="5"/>
    <col width="7.1640625" customWidth="1" style="1" min="6" max="6"/>
    <col width="5.8359375" customWidth="1" style="1" min="7" max="7"/>
    <col width="6.5" customWidth="1" style="1" min="8" max="8"/>
    <col width="6.1640625" customWidth="1" style="1" min="9" max="9"/>
    <col width="12" customWidth="1" style="1" min="10" max="11"/>
    <col width="9.8359375" customWidth="1" style="1" min="12" max="12"/>
    <col width="12.5" customWidth="1" style="1" min="13" max="13"/>
    <col width="12" customWidth="1" style="1" min="14" max="16"/>
    <col width="12.8359375" customWidth="1" style="1" min="18" max="18"/>
    <col width="9.1640625" customWidth="1" style="52" min="19" max="19"/>
    <col width="11.1640625" customWidth="1" style="1" min="20" max="20"/>
    <col width="13.3359375" customWidth="1" style="1" min="21" max="21"/>
  </cols>
  <sheetData>
    <row r="1" ht="23.4" customHeight="1" s="2">
      <c r="A1" s="13" t="inlineStr">
        <is>
          <t>二级流程
（场景）</t>
        </is>
      </c>
      <c r="B1" s="13" t="inlineStr">
        <is>
          <t>三级流程
（任务）</t>
        </is>
      </c>
      <c r="C1" s="14" t="inlineStr">
        <is>
          <t>任务名称</t>
        </is>
      </c>
      <c r="D1" s="14" t="inlineStr">
        <is>
          <t>WBS</t>
        </is>
      </c>
      <c r="E1" s="14" t="inlineStr">
        <is>
          <t>说明</t>
        </is>
      </c>
      <c r="F1" s="14" t="inlineStr">
        <is>
          <t>里程碑</t>
        </is>
      </c>
      <c r="G1" s="13" t="inlineStr">
        <is>
          <t>乙方
评审</t>
        </is>
      </c>
      <c r="H1" s="13" t="inlineStr">
        <is>
          <t>甲方
评审</t>
        </is>
      </c>
      <c r="I1" s="13" t="inlineStr">
        <is>
          <t>PMO</t>
        </is>
      </c>
      <c r="J1" s="15" t="inlineStr">
        <is>
          <t>计划时间</t>
        </is>
      </c>
      <c r="K1" s="121" t="n"/>
      <c r="L1" s="15" t="inlineStr">
        <is>
          <t>工作日</t>
        </is>
      </c>
      <c r="M1" s="15" t="inlineStr">
        <is>
          <t>是否与上个任务为前后置关系</t>
        </is>
      </c>
      <c r="N1" s="15" t="inlineStr">
        <is>
          <t>实际时间</t>
        </is>
      </c>
      <c r="O1" s="121" t="n"/>
      <c r="P1" s="15" t="inlineStr">
        <is>
          <t>工作日</t>
        </is>
      </c>
      <c r="Q1" s="15" t="inlineStr">
        <is>
          <t>执行人</t>
        </is>
      </c>
      <c r="R1" s="121" t="n"/>
      <c r="S1" s="15" t="inlineStr">
        <is>
          <t>进度</t>
        </is>
      </c>
      <c r="T1" s="121" t="n"/>
      <c r="U1" s="15" t="inlineStr">
        <is>
          <t>交付物</t>
        </is>
      </c>
    </row>
    <row r="2" ht="23.4" customHeight="1" s="2">
      <c r="A2" s="9" t="n"/>
      <c r="B2" s="9" t="n"/>
      <c r="C2" s="9" t="n"/>
      <c r="D2" s="9" t="n"/>
      <c r="E2" s="9" t="n"/>
      <c r="F2" s="9" t="n"/>
      <c r="G2" s="9" t="n"/>
      <c r="H2" s="9" t="n"/>
      <c r="I2" s="9" t="n"/>
      <c r="J2" s="15" t="inlineStr">
        <is>
          <t>计划开始</t>
        </is>
      </c>
      <c r="K2" s="15" t="inlineStr">
        <is>
          <t>计划结束</t>
        </is>
      </c>
      <c r="L2" s="15" t="inlineStr">
        <is>
          <t>计划天数</t>
        </is>
      </c>
      <c r="M2" s="9" t="n"/>
      <c r="N2" s="15" t="inlineStr">
        <is>
          <t>实际开始</t>
        </is>
      </c>
      <c r="O2" s="15" t="inlineStr">
        <is>
          <t>实际完成</t>
        </is>
      </c>
      <c r="P2" s="15" t="inlineStr">
        <is>
          <t>实际天数</t>
        </is>
      </c>
      <c r="Q2" s="15" t="inlineStr">
        <is>
          <t>主责</t>
        </is>
      </c>
      <c r="R2" s="15" t="inlineStr">
        <is>
          <t>协助或支持</t>
        </is>
      </c>
      <c r="S2" s="15" t="inlineStr">
        <is>
          <t>状态</t>
        </is>
      </c>
      <c r="T2" s="15" t="inlineStr">
        <is>
          <t>进度备注</t>
        </is>
      </c>
      <c r="U2" s="9" t="n"/>
    </row>
    <row r="3">
      <c r="A3" s="17" t="n">
        <v>1.1</v>
      </c>
      <c r="B3" s="17" t="n"/>
      <c r="C3" s="19" t="inlineStr">
        <is>
          <t>内部启动</t>
        </is>
      </c>
      <c r="D3" s="19" t="n"/>
      <c r="E3" s="19" t="n"/>
      <c r="F3" s="19" t="n"/>
      <c r="G3" s="20" t="n"/>
      <c r="H3" s="20" t="n"/>
      <c r="I3" s="19" t="n"/>
      <c r="J3" s="42">
        <f>主计划!N4</f>
        <v/>
      </c>
      <c r="K3" s="42">
        <f>主计划!O4</f>
        <v/>
      </c>
      <c r="L3" s="20">
        <f>主计划!P4</f>
        <v/>
      </c>
      <c r="M3" s="20" t="n"/>
      <c r="N3" s="53">
        <f>MIN(N4:N13)</f>
        <v/>
      </c>
      <c r="O3" s="53">
        <f>MAX(O4:O13)</f>
        <v/>
      </c>
      <c r="P3" s="20">
        <f>NETWORKDAYS(N3,O3)</f>
        <v/>
      </c>
      <c r="Q3" s="19" t="inlineStr">
        <is>
          <t>陈本鸿</t>
        </is>
      </c>
      <c r="R3" s="19" t="n"/>
      <c r="S3" s="20">
        <f>IF(COUNTIF(S4:S13,"未完成")=COUNTA(S4:S13),"未完成",IF(COUNTIF(S4:S13,"已完成")=COUNTA(S4:S13),"已完成","进行中"))</f>
        <v/>
      </c>
      <c r="T3" s="19" t="n"/>
      <c r="U3" s="19" t="n"/>
    </row>
    <row r="4">
      <c r="A4" s="24" t="n"/>
      <c r="B4" s="31" t="inlineStr">
        <is>
          <t>1.1.1</t>
        </is>
      </c>
      <c r="C4" s="31" t="inlineStr">
        <is>
          <t>内部启动准备</t>
        </is>
      </c>
      <c r="D4" s="28" t="n"/>
      <c r="E4" s="28" t="n"/>
      <c r="F4" s="28" t="n"/>
      <c r="G4" s="29" t="n"/>
      <c r="H4" s="29" t="n"/>
      <c r="I4" s="28" t="n"/>
      <c r="J4" s="44">
        <f>主计划!N5</f>
        <v/>
      </c>
      <c r="K4" s="44">
        <f>主计划!O5</f>
        <v/>
      </c>
      <c r="L4" s="29">
        <f>主计划!P5</f>
        <v/>
      </c>
      <c r="M4" s="29" t="n"/>
      <c r="N4" s="44">
        <f>MIN(N5:N10)</f>
        <v/>
      </c>
      <c r="O4" s="44">
        <f>MAX(O5:O10)</f>
        <v/>
      </c>
      <c r="P4" s="29">
        <f>NETWORKDAYS(N4,O4)</f>
        <v/>
      </c>
      <c r="Q4" s="28" t="inlineStr">
        <is>
          <t>陈本鸿</t>
        </is>
      </c>
      <c r="R4" s="28" t="n"/>
      <c r="S4" s="29">
        <f>IF(COUNTIF(S5:S10,"未完成")=COUNTA(S5:S10),"未完成",IF(COUNTIF(S5:S10,"已完成")=COUNTA(S5:S10),"已完成","进行中"))</f>
        <v/>
      </c>
      <c r="T4" s="28" t="n"/>
      <c r="U4" s="23" t="n"/>
    </row>
    <row r="5">
      <c r="A5" s="24" t="n"/>
      <c r="B5" s="36" t="n"/>
      <c r="C5" s="33" t="n"/>
      <c r="D5" s="23" t="inlineStr">
        <is>
          <t>选择团队成员</t>
        </is>
      </c>
      <c r="E5" s="23" t="n"/>
      <c r="F5" s="23" t="n"/>
      <c r="G5" s="34" t="n"/>
      <c r="H5" s="34" t="n"/>
      <c r="I5" s="23" t="n"/>
      <c r="J5" s="45">
        <f>J4</f>
        <v/>
      </c>
      <c r="K5" s="45">
        <f>_xlfn.WORKDAY.INTL(J5,L5-1,1,法定节假日!$B$2:$B$67)</f>
        <v/>
      </c>
      <c r="L5" s="34" t="n">
        <v>1</v>
      </c>
      <c r="M5" s="34" t="n"/>
      <c r="N5" s="45" t="n"/>
      <c r="O5" s="45" t="n"/>
      <c r="P5" s="34">
        <f>NETWORKDAYS(N5,O5)</f>
        <v/>
      </c>
      <c r="Q5" s="23" t="n"/>
      <c r="R5" s="23" t="n"/>
      <c r="S5" s="34" t="inlineStr">
        <is>
          <t>未完成</t>
        </is>
      </c>
      <c r="T5" s="23" t="n"/>
      <c r="U5" s="23" t="n"/>
    </row>
    <row r="6" ht="15" customHeight="1" s="2">
      <c r="A6" s="24" t="n"/>
      <c r="B6" s="16" t="n"/>
      <c r="C6" s="33" t="n"/>
      <c r="D6" s="33" t="inlineStr">
        <is>
          <t>组织售前交接会</t>
        </is>
      </c>
      <c r="E6" s="33" t="n"/>
      <c r="F6" s="23" t="n"/>
      <c r="G6" s="34" t="n"/>
      <c r="H6" s="34" t="n"/>
      <c r="I6" s="38" t="inlineStr">
        <is>
          <t>√</t>
        </is>
      </c>
      <c r="J6" s="45">
        <f>J4</f>
        <v/>
      </c>
      <c r="K6" s="45">
        <f>_xlfn.WORKDAY.INTL(J6,L6-1,1,法定节假日!$B$2:$B$67)</f>
        <v/>
      </c>
      <c r="L6" s="34" t="n">
        <v>1</v>
      </c>
      <c r="M6" s="34" t="n"/>
      <c r="N6" s="45" t="n"/>
      <c r="O6" s="45" t="n"/>
      <c r="P6" s="34">
        <f>NETWORKDAYS(N6,O6)</f>
        <v/>
      </c>
      <c r="Q6" s="23" t="n"/>
      <c r="R6" s="23" t="n"/>
      <c r="S6" s="34" t="inlineStr">
        <is>
          <t>未完成</t>
        </is>
      </c>
      <c r="T6" s="23" t="n"/>
      <c r="U6" s="23" t="n"/>
    </row>
    <row r="7" ht="15" customHeight="1" s="2">
      <c r="A7" s="24" t="n"/>
      <c r="B7" s="16" t="n"/>
      <c r="C7" s="33" t="n"/>
      <c r="D7" s="33" t="inlineStr">
        <is>
          <t>制度模板裁剪</t>
        </is>
      </c>
      <c r="E7" s="33" t="n"/>
      <c r="F7" s="23" t="n"/>
      <c r="G7" s="34" t="n"/>
      <c r="H7" s="34" t="n"/>
      <c r="I7" s="34" t="inlineStr">
        <is>
          <t>√</t>
        </is>
      </c>
      <c r="J7" s="45">
        <f>J4</f>
        <v/>
      </c>
      <c r="K7" s="45">
        <f>_xlfn.WORKDAY.INTL(J7,L7-1,1,法定节假日!$B$2:$B$67)</f>
        <v/>
      </c>
      <c r="L7" s="34" t="n">
        <v>1</v>
      </c>
      <c r="M7" s="34" t="n"/>
      <c r="N7" s="45" t="n"/>
      <c r="O7" s="54" t="n"/>
      <c r="P7" s="34">
        <f>NETWORKDAYS(N7,O7)</f>
        <v/>
      </c>
      <c r="Q7" s="23" t="n"/>
      <c r="R7" s="23" t="n"/>
      <c r="S7" s="34" t="inlineStr">
        <is>
          <t>未完成</t>
        </is>
      </c>
      <c r="T7" s="23" t="n"/>
      <c r="U7" s="23" t="n"/>
    </row>
    <row r="8" ht="15" customHeight="1" s="2">
      <c r="A8" s="24" t="n"/>
      <c r="B8" s="16" t="n"/>
      <c r="C8" s="33" t="n"/>
      <c r="D8" s="33" t="inlineStr">
        <is>
          <t>项目基线制定</t>
        </is>
      </c>
      <c r="E8" s="33" t="n"/>
      <c r="F8" s="23" t="n"/>
      <c r="G8" s="23" t="n"/>
      <c r="H8" s="23" t="n"/>
      <c r="I8" s="23" t="n"/>
      <c r="J8" s="45">
        <f>J4</f>
        <v/>
      </c>
      <c r="K8" s="45">
        <f>_xlfn.WORKDAY.INTL(J8,L8-1,1,法定节假日!$B$2:$B$67)</f>
        <v/>
      </c>
      <c r="L8" s="34" t="n">
        <v>1</v>
      </c>
      <c r="M8" s="34" t="n"/>
      <c r="N8" s="45" t="n"/>
      <c r="O8" s="45" t="n"/>
      <c r="P8" s="34">
        <f>NETWORKDAYS(N8,O8)</f>
        <v/>
      </c>
      <c r="Q8" s="23" t="n"/>
      <c r="R8" s="23" t="n"/>
      <c r="S8" s="34" t="inlineStr">
        <is>
          <t>未完成</t>
        </is>
      </c>
      <c r="T8" s="23" t="n"/>
      <c r="U8" s="23" t="n"/>
    </row>
    <row r="9" ht="15" customHeight="1" s="2">
      <c r="A9" s="24" t="n"/>
      <c r="B9" s="16" t="n"/>
      <c r="C9" s="33" t="n"/>
      <c r="D9" s="33" t="inlineStr">
        <is>
          <t>项目基线评审</t>
        </is>
      </c>
      <c r="E9" s="33" t="n"/>
      <c r="F9" s="23" t="n"/>
      <c r="G9" s="34" t="inlineStr">
        <is>
          <t>√</t>
        </is>
      </c>
      <c r="H9" s="34" t="n"/>
      <c r="I9" s="34" t="inlineStr">
        <is>
          <t>√</t>
        </is>
      </c>
      <c r="J9" s="45">
        <f>J4</f>
        <v/>
      </c>
      <c r="K9" s="45">
        <f>_xlfn.WORKDAY.INTL(J9,L9-1,1,法定节假日!$B$2:$B$67)</f>
        <v/>
      </c>
      <c r="L9" s="34" t="n">
        <v>1</v>
      </c>
      <c r="M9" s="34" t="n"/>
      <c r="N9" s="45" t="n"/>
      <c r="O9" s="45" t="n"/>
      <c r="P9" s="34">
        <f>NETWORKDAYS(N9,O9)</f>
        <v/>
      </c>
      <c r="Q9" s="23" t="n"/>
      <c r="R9" s="23" t="n"/>
      <c r="S9" s="34" t="inlineStr">
        <is>
          <t>未完成</t>
        </is>
      </c>
      <c r="T9" s="23" t="n"/>
      <c r="U9" s="23" t="n"/>
    </row>
    <row r="10" ht="16.5" customHeight="1" s="2">
      <c r="A10" s="24" t="n"/>
      <c r="B10" s="16" t="n"/>
      <c r="C10" s="33" t="n"/>
      <c r="D10" s="33" t="inlineStr">
        <is>
          <t>CRM建项</t>
        </is>
      </c>
      <c r="E10" s="33" t="n"/>
      <c r="F10" s="55" t="n"/>
      <c r="G10" s="34" t="n"/>
      <c r="H10" s="34" t="n"/>
      <c r="I10" s="34" t="inlineStr">
        <is>
          <t>√</t>
        </is>
      </c>
      <c r="J10" s="45">
        <f>J4</f>
        <v/>
      </c>
      <c r="K10" s="45">
        <f>_xlfn.WORKDAY.INTL(J10,L10-1,1,法定节假日!$B$2:$B$67)</f>
        <v/>
      </c>
      <c r="L10" s="56" t="n">
        <v>1</v>
      </c>
      <c r="M10" s="56" t="n"/>
      <c r="N10" s="51" t="n"/>
      <c r="O10" s="51" t="n"/>
      <c r="P10" s="34">
        <f>NETWORKDAYS(N10,O10)</f>
        <v/>
      </c>
      <c r="Q10" s="23" t="n"/>
      <c r="R10" s="23" t="n"/>
      <c r="S10" s="34" t="inlineStr">
        <is>
          <t>未完成</t>
        </is>
      </c>
      <c r="T10" s="23" t="n"/>
      <c r="U10" s="23" t="n"/>
    </row>
    <row r="11" ht="16.5" customHeight="1" s="2">
      <c r="A11" s="24" t="n"/>
      <c r="B11" s="31" t="inlineStr">
        <is>
          <t>1.1.2</t>
        </is>
      </c>
      <c r="C11" s="31" t="inlineStr">
        <is>
          <t>内部启动会</t>
        </is>
      </c>
      <c r="D11" s="28" t="n"/>
      <c r="E11" s="28" t="n"/>
      <c r="F11" s="28" t="n"/>
      <c r="G11" s="29" t="n"/>
      <c r="H11" s="29" t="n"/>
      <c r="I11" s="28" t="n"/>
      <c r="J11" s="44">
        <f>主计划!N6</f>
        <v/>
      </c>
      <c r="K11" s="44">
        <f>主计划!O6</f>
        <v/>
      </c>
      <c r="L11" s="29">
        <f>主计划!P6</f>
        <v/>
      </c>
      <c r="M11" s="29" t="n"/>
      <c r="N11" s="44">
        <f>MIN(N12:N13)</f>
        <v/>
      </c>
      <c r="O11" s="44">
        <f>MAX(O12:O13)</f>
        <v/>
      </c>
      <c r="P11" s="29">
        <f>NETWORKDAYS(N11,O11)</f>
        <v/>
      </c>
      <c r="Q11" s="28" t="inlineStr">
        <is>
          <t>陈本鸿</t>
        </is>
      </c>
      <c r="R11" s="28" t="n"/>
      <c r="S11" s="29">
        <f>IF(COUNTIF(S12:S13,"未完成")=COUNTA(S12:S13),"未完成",IF(COUNTIF(S12:S13,"已完成")=COUNTA(S12:S13),"已完成","进行中"))</f>
        <v/>
      </c>
      <c r="T11" s="28" t="n"/>
      <c r="U11" s="23" t="n"/>
    </row>
    <row r="12" ht="16.5" customHeight="1" s="2">
      <c r="A12" s="24" t="n"/>
      <c r="B12" s="36" t="n"/>
      <c r="C12" s="36" t="n"/>
      <c r="D12" s="33" t="inlineStr">
        <is>
          <t>内部启动材料准备</t>
        </is>
      </c>
      <c r="E12" s="33" t="n"/>
      <c r="F12" s="55" t="n"/>
      <c r="G12" s="34" t="n"/>
      <c r="H12" s="34" t="n"/>
      <c r="I12" s="34" t="inlineStr">
        <is>
          <t>√</t>
        </is>
      </c>
      <c r="J12" s="45">
        <f>J11</f>
        <v/>
      </c>
      <c r="K12" s="45">
        <f>_xlfn.WORKDAY.INTL(J12,L12-1,1,法定节假日!$B$2:$B$67)</f>
        <v/>
      </c>
      <c r="L12" s="56" t="n">
        <v>1</v>
      </c>
      <c r="M12" s="56" t="n"/>
      <c r="N12" s="51" t="n"/>
      <c r="O12" s="51" t="n"/>
      <c r="P12" s="34">
        <f>NETWORKDAYS(N12,O12)</f>
        <v/>
      </c>
      <c r="Q12" s="23" t="n"/>
      <c r="R12" s="23" t="n"/>
      <c r="S12" s="34" t="inlineStr">
        <is>
          <t>未完成</t>
        </is>
      </c>
      <c r="T12" s="23" t="n"/>
      <c r="U12" s="23" t="n"/>
    </row>
    <row r="13" ht="15" customHeight="1" s="2">
      <c r="A13" s="24" t="n"/>
      <c r="B13" s="16" t="n"/>
      <c r="C13" s="16" t="n"/>
      <c r="D13" s="33" t="inlineStr">
        <is>
          <t>组织内部启动会</t>
        </is>
      </c>
      <c r="E13" s="57" t="n"/>
      <c r="F13" s="23" t="n"/>
      <c r="G13" s="34" t="inlineStr">
        <is>
          <t>√</t>
        </is>
      </c>
      <c r="H13" s="34" t="n"/>
      <c r="I13" s="34" t="inlineStr">
        <is>
          <t>√</t>
        </is>
      </c>
      <c r="J13" s="45">
        <f>J11</f>
        <v/>
      </c>
      <c r="K13" s="45">
        <f>_xlfn.WORKDAY.INTL(J13,L13-1,1,法定节假日!$B$2:$B$67)</f>
        <v/>
      </c>
      <c r="L13" s="34" t="n">
        <v>1</v>
      </c>
      <c r="M13" s="34" t="n"/>
      <c r="N13" s="45" t="n"/>
      <c r="O13" s="45" t="n"/>
      <c r="P13" s="34">
        <f>NETWORKDAYS(N13,O13)</f>
        <v/>
      </c>
      <c r="Q13" s="23" t="n"/>
      <c r="R13" s="23" t="n"/>
      <c r="S13" s="34" t="inlineStr">
        <is>
          <t>未完成</t>
        </is>
      </c>
      <c r="T13" s="23" t="n"/>
      <c r="U13" s="23" t="n"/>
    </row>
    <row r="14">
      <c r="A14" s="17" t="n">
        <v>1.2</v>
      </c>
      <c r="B14" s="17" t="n"/>
      <c r="C14" s="19" t="inlineStr">
        <is>
          <t>技术准备</t>
        </is>
      </c>
      <c r="D14" s="19" t="n"/>
      <c r="E14" s="19" t="n"/>
      <c r="F14" s="19" t="n"/>
      <c r="G14" s="20" t="n"/>
      <c r="H14" s="20" t="n"/>
      <c r="I14" s="19" t="n"/>
      <c r="J14" s="42">
        <f>主计划!N7</f>
        <v/>
      </c>
      <c r="K14" s="42">
        <f>主计划!O7</f>
        <v/>
      </c>
      <c r="L14" s="20">
        <f>主计划!P7</f>
        <v/>
      </c>
      <c r="M14" s="20" t="n"/>
      <c r="N14" s="53">
        <f>MIN(N15:N22)</f>
        <v/>
      </c>
      <c r="O14" s="53">
        <f>MAX(O15:O22)</f>
        <v/>
      </c>
      <c r="P14" s="20">
        <f>NETWORKDAYS(N14,O14)</f>
        <v/>
      </c>
      <c r="Q14" s="19" t="inlineStr">
        <is>
          <t>陈本鸿</t>
        </is>
      </c>
      <c r="R14" s="19" t="n"/>
      <c r="S14" s="20">
        <f>IF(COUNTIF(S15:S22,"未完成")=COUNTA(S15:S22),"未完成",IF(COUNTIF(S15:S22,"已完成")=COUNTA(S15:S22),"已完成","进行中"))</f>
        <v/>
      </c>
      <c r="T14" s="19" t="n"/>
      <c r="U14" s="19" t="n"/>
    </row>
    <row r="15" ht="16.5" customHeight="1" s="2">
      <c r="A15" s="24" t="n"/>
      <c r="B15" s="31" t="inlineStr">
        <is>
          <t>1.2.1</t>
        </is>
      </c>
      <c r="C15" s="31" t="inlineStr">
        <is>
          <t>用户业务流程获取</t>
        </is>
      </c>
      <c r="D15" s="28" t="n"/>
      <c r="E15" s="28" t="n"/>
      <c r="F15" s="28" t="n"/>
      <c r="G15" s="29" t="n"/>
      <c r="H15" s="29" t="n"/>
      <c r="I15" s="28" t="n"/>
      <c r="J15" s="44">
        <f>主计划!N8</f>
        <v/>
      </c>
      <c r="K15" s="44">
        <f>主计划!O8</f>
        <v/>
      </c>
      <c r="L15" s="29">
        <f>主计划!P8</f>
        <v/>
      </c>
      <c r="M15" s="29" t="n"/>
      <c r="N15" s="44">
        <f>MIN(N16:N16)</f>
        <v/>
      </c>
      <c r="O15" s="44">
        <f>MAX(O16:O16)</f>
        <v/>
      </c>
      <c r="P15" s="29">
        <f>NETWORKDAYS(N15,O15)</f>
        <v/>
      </c>
      <c r="Q15" s="28" t="inlineStr">
        <is>
          <t>陈本鸿</t>
        </is>
      </c>
      <c r="R15" s="28" t="n"/>
      <c r="S15" s="29">
        <f>IF(COUNTIF(S16:S16,"未完成")=COUNTA(S16:S16),"未完成",IF(COUNTIF(S16:S16,"已完成")=COUNTA(S16:S16),"已完成","进行中"))</f>
        <v/>
      </c>
      <c r="T15" s="28" t="n"/>
      <c r="U15" s="23" t="n"/>
    </row>
    <row r="16" ht="16.5" customHeight="1" s="2">
      <c r="A16" s="24" t="n"/>
      <c r="B16" s="36" t="n"/>
      <c r="C16" s="33" t="n"/>
      <c r="D16" s="33" t="inlineStr">
        <is>
          <t>用户业务流程获取</t>
        </is>
      </c>
      <c r="E16" s="33" t="n"/>
      <c r="F16" s="23" t="n"/>
      <c r="G16" s="34" t="n"/>
      <c r="H16" s="34" t="n"/>
      <c r="I16" s="34" t="n"/>
      <c r="J16" s="51">
        <f>J15</f>
        <v/>
      </c>
      <c r="K16" s="45">
        <f>_xlfn.WORKDAY.INTL(J16,L16-1,1,法定节假日!$B$2:$B$67)</f>
        <v/>
      </c>
      <c r="L16" s="56">
        <f>L15</f>
        <v/>
      </c>
      <c r="M16" s="56" t="n"/>
      <c r="N16" s="51" t="n"/>
      <c r="O16" s="51" t="n"/>
      <c r="P16" s="34">
        <f>NETWORKDAYS(N16,O16)</f>
        <v/>
      </c>
      <c r="Q16" s="23" t="n"/>
      <c r="R16" s="23" t="n"/>
      <c r="S16" s="34" t="inlineStr">
        <is>
          <t>未完成</t>
        </is>
      </c>
      <c r="T16" s="23" t="n"/>
      <c r="U16" s="23" t="n"/>
    </row>
    <row r="17" ht="16.5" customHeight="1" s="2">
      <c r="A17" s="24" t="n"/>
      <c r="B17" s="31" t="inlineStr">
        <is>
          <t>1.2.2</t>
        </is>
      </c>
      <c r="C17" s="31" t="inlineStr">
        <is>
          <t>交付物V0.1准备</t>
        </is>
      </c>
      <c r="D17" s="28" t="n"/>
      <c r="E17" s="28" t="n"/>
      <c r="F17" s="28" t="n"/>
      <c r="G17" s="29" t="n"/>
      <c r="H17" s="29" t="n"/>
      <c r="I17" s="28" t="n"/>
      <c r="J17" s="44">
        <f>主计划!N9</f>
        <v/>
      </c>
      <c r="K17" s="44">
        <f>主计划!O9</f>
        <v/>
      </c>
      <c r="L17" s="29">
        <f>主计划!P9</f>
        <v/>
      </c>
      <c r="M17" s="29" t="n"/>
      <c r="N17" s="44">
        <f>MIN(N18:N19)</f>
        <v/>
      </c>
      <c r="O17" s="44">
        <f>MAX(O18:O19)</f>
        <v/>
      </c>
      <c r="P17" s="29">
        <f>NETWORKDAYS(N17,O17)</f>
        <v/>
      </c>
      <c r="Q17" s="28" t="inlineStr">
        <is>
          <t>陈本鸿</t>
        </is>
      </c>
      <c r="R17" s="28" t="n"/>
      <c r="S17" s="29">
        <f>IF(COUNTIF(S18:S19,"未完成")=COUNTA(S18:S19),"未完成",IF(COUNTIF(S18:S19,"已完成")=COUNTA(S18:S19),"已完成","进行中"))</f>
        <v/>
      </c>
      <c r="T17" s="28" t="n"/>
      <c r="U17" s="23" t="n"/>
    </row>
    <row r="18" ht="16.5" customHeight="1" s="2">
      <c r="A18" s="24" t="n"/>
      <c r="B18" s="36" t="n"/>
      <c r="C18" s="36" t="n"/>
      <c r="D18" s="33" t="inlineStr">
        <is>
          <t>交付物V0.1制定</t>
        </is>
      </c>
      <c r="E18" s="33" t="n"/>
      <c r="F18" s="23" t="n"/>
      <c r="G18" s="34" t="n"/>
      <c r="H18" s="34" t="n"/>
      <c r="I18" s="34" t="n"/>
      <c r="J18" s="51">
        <f>J17</f>
        <v/>
      </c>
      <c r="K18" s="45">
        <f>_xlfn.WORKDAY.INTL(J18,L18-1,1,法定节假日!$B$2:$B$67)</f>
        <v/>
      </c>
      <c r="L18" s="56" t="n">
        <v>2</v>
      </c>
      <c r="M18" s="56" t="n"/>
      <c r="N18" s="51" t="n"/>
      <c r="O18" s="51" t="n"/>
      <c r="P18" s="34">
        <f>NETWORKDAYS(N18,O18)</f>
        <v/>
      </c>
      <c r="Q18" s="23" t="n"/>
      <c r="R18" s="23" t="n"/>
      <c r="S18" s="34" t="inlineStr">
        <is>
          <t>未完成</t>
        </is>
      </c>
      <c r="T18" s="23" t="n"/>
      <c r="U18" s="23" t="n"/>
    </row>
    <row r="19" ht="16.5" customHeight="1" s="2">
      <c r="A19" s="24" t="n"/>
      <c r="B19" s="16" t="n"/>
      <c r="C19" s="16" t="n"/>
      <c r="D19" s="33" t="inlineStr">
        <is>
          <t>技术顾问评审</t>
        </is>
      </c>
      <c r="E19" s="33" t="n"/>
      <c r="F19" s="23" t="n"/>
      <c r="G19" s="34" t="inlineStr">
        <is>
          <t>√</t>
        </is>
      </c>
      <c r="H19" s="34" t="n"/>
      <c r="I19" s="34" t="inlineStr">
        <is>
          <t>√</t>
        </is>
      </c>
      <c r="J19" s="51">
        <f>_xlfn.WORKDAY.INTL(K18,1,1,法定节假日!$B$2:$B$67)</f>
        <v/>
      </c>
      <c r="K19" s="45">
        <f>_xlfn.WORKDAY.INTL(J19,L19-1,1,法定节假日!$B$2:$B$67)</f>
        <v/>
      </c>
      <c r="L19" s="56">
        <f>L17-SUM(L18:L18)</f>
        <v/>
      </c>
      <c r="M19" s="56" t="n"/>
      <c r="N19" s="51" t="n"/>
      <c r="O19" s="51" t="n"/>
      <c r="P19" s="34">
        <f>NETWORKDAYS(N19,O19)</f>
        <v/>
      </c>
      <c r="Q19" s="23" t="n"/>
      <c r="R19" s="23" t="n"/>
      <c r="S19" s="34" t="inlineStr">
        <is>
          <t>未完成</t>
        </is>
      </c>
      <c r="T19" s="23" t="n"/>
      <c r="U19" s="23" t="n"/>
    </row>
    <row r="20" ht="16.5" customHeight="1" s="2">
      <c r="A20" s="24" t="n"/>
      <c r="B20" s="31" t="inlineStr">
        <is>
          <t>1.2.3</t>
        </is>
      </c>
      <c r="C20" s="31" t="inlineStr">
        <is>
          <t>调研问卷准备</t>
        </is>
      </c>
      <c r="D20" s="28" t="n"/>
      <c r="E20" s="28" t="n"/>
      <c r="F20" s="28" t="n"/>
      <c r="G20" s="29" t="n"/>
      <c r="H20" s="29" t="n"/>
      <c r="I20" s="28" t="n"/>
      <c r="J20" s="44">
        <f>主计划!N10</f>
        <v/>
      </c>
      <c r="K20" s="44">
        <f>主计划!O10</f>
        <v/>
      </c>
      <c r="L20" s="29">
        <f>主计划!P10</f>
        <v/>
      </c>
      <c r="M20" s="29" t="n"/>
      <c r="N20" s="44">
        <f>MIN(N21:N22)</f>
        <v/>
      </c>
      <c r="O20" s="44">
        <f>MAX(O21:O22)</f>
        <v/>
      </c>
      <c r="P20" s="29">
        <f>NETWORKDAYS(N20,O20)</f>
        <v/>
      </c>
      <c r="Q20" s="28" t="inlineStr">
        <is>
          <t>陈本鸿</t>
        </is>
      </c>
      <c r="R20" s="28" t="n"/>
      <c r="S20" s="29">
        <f>IF(COUNTIF(S21:S22,"未完成")=COUNTA(S21:S22),"未完成",IF(COUNTIF(S21:S22,"已完成")=COUNTA(S21:S22),"已完成","进行中"))</f>
        <v/>
      </c>
      <c r="T20" s="28" t="n"/>
      <c r="U20" s="23" t="n"/>
    </row>
    <row r="21" ht="16.5" customHeight="1" s="2">
      <c r="A21" s="24" t="n"/>
      <c r="B21" s="36" t="n"/>
      <c r="C21" s="36" t="n"/>
      <c r="D21" s="33" t="inlineStr">
        <is>
          <t>调研问卷准备</t>
        </is>
      </c>
      <c r="E21" s="33" t="n"/>
      <c r="F21" s="23" t="n"/>
      <c r="G21" s="34" t="n"/>
      <c r="H21" s="34" t="n"/>
      <c r="I21" s="34" t="n"/>
      <c r="J21" s="51">
        <f>J20</f>
        <v/>
      </c>
      <c r="K21" s="45">
        <f>_xlfn.WORKDAY.INTL(J21,L21-1,1,法定节假日!$B$2:$B$67)</f>
        <v/>
      </c>
      <c r="L21" s="56" t="n">
        <v>2</v>
      </c>
      <c r="M21" s="56" t="n"/>
      <c r="N21" s="51" t="n"/>
      <c r="O21" s="51" t="n"/>
      <c r="P21" s="34">
        <f>NETWORKDAYS(N21,O21)</f>
        <v/>
      </c>
      <c r="Q21" s="23" t="n"/>
      <c r="R21" s="23" t="n"/>
      <c r="S21" s="34" t="inlineStr">
        <is>
          <t>未完成</t>
        </is>
      </c>
      <c r="T21" s="23" t="n"/>
      <c r="U21" s="23" t="n"/>
    </row>
    <row r="22" ht="16.5" customHeight="1" s="2">
      <c r="A22" s="24" t="n"/>
      <c r="B22" s="16" t="n"/>
      <c r="C22" s="16" t="n"/>
      <c r="D22" s="33" t="inlineStr">
        <is>
          <t>技术顾问评审</t>
        </is>
      </c>
      <c r="E22" s="33" t="n"/>
      <c r="F22" s="23" t="n"/>
      <c r="G22" s="34" t="inlineStr">
        <is>
          <t>√</t>
        </is>
      </c>
      <c r="H22" s="34" t="n"/>
      <c r="I22" s="34" t="inlineStr">
        <is>
          <t>√</t>
        </is>
      </c>
      <c r="J22" s="51">
        <f>_xlfn.WORKDAY.INTL(K21,1,1,法定节假日!$B$2:$B$67)</f>
        <v/>
      </c>
      <c r="K22" s="45">
        <f>_xlfn.WORKDAY.INTL(J22,L22-1,1,法定节假日!$B$2:$B$67)</f>
        <v/>
      </c>
      <c r="L22" s="56">
        <f>L20-SUM(L21:L21)</f>
        <v/>
      </c>
      <c r="M22" s="56" t="n"/>
      <c r="N22" s="51" t="n"/>
      <c r="O22" s="51" t="n"/>
      <c r="P22" s="34">
        <f>NETWORKDAYS(N22,O22)</f>
        <v/>
      </c>
      <c r="Q22" s="23" t="n"/>
      <c r="R22" s="23" t="n"/>
      <c r="S22" s="34" t="inlineStr">
        <is>
          <t>未完成</t>
        </is>
      </c>
      <c r="T22" s="23" t="n"/>
      <c r="U22" s="23" t="n"/>
    </row>
    <row r="23">
      <c r="A23" s="17" t="n">
        <v>1.3</v>
      </c>
      <c r="B23" s="17" t="n"/>
      <c r="C23" s="19" t="inlineStr">
        <is>
          <t>项目启动</t>
        </is>
      </c>
      <c r="D23" s="19" t="n"/>
      <c r="E23" s="19" t="n"/>
      <c r="F23" s="19" t="n"/>
      <c r="G23" s="20" t="n"/>
      <c r="H23" s="20" t="n"/>
      <c r="I23" s="19" t="n"/>
      <c r="J23" s="42">
        <f>主计划!N11</f>
        <v/>
      </c>
      <c r="K23" s="42">
        <f>主计划!O11</f>
        <v/>
      </c>
      <c r="L23" s="20">
        <f>主计划!P11</f>
        <v/>
      </c>
      <c r="M23" s="20" t="n"/>
      <c r="N23" s="53">
        <f>MIN(N24:N33)</f>
        <v/>
      </c>
      <c r="O23" s="53">
        <f>MAX(O24:O33)</f>
        <v/>
      </c>
      <c r="P23" s="20">
        <f>NETWORKDAYS(N23,O23)</f>
        <v/>
      </c>
      <c r="Q23" s="19" t="inlineStr">
        <is>
          <t>周年根</t>
        </is>
      </c>
      <c r="R23" s="19" t="n"/>
      <c r="S23" s="20">
        <f>IF(COUNTIF(S24:S33,"未完成")=COUNTA(S24:S33),"未完成",IF(COUNTIF(S24:S33,"已完成")=COUNTA(S24:S33),"已完成","进行中"))</f>
        <v/>
      </c>
      <c r="T23" s="19" t="n"/>
      <c r="U23" s="19" t="n"/>
    </row>
    <row r="24">
      <c r="A24" s="24" t="n"/>
      <c r="B24" s="31" t="inlineStr">
        <is>
          <t>1.3.1</t>
        </is>
      </c>
      <c r="C24" s="31" t="inlineStr">
        <is>
          <t>组建客户团队</t>
        </is>
      </c>
      <c r="D24" s="28" t="n"/>
      <c r="E24" s="28" t="n"/>
      <c r="F24" s="28" t="n"/>
      <c r="G24" s="29" t="n"/>
      <c r="H24" s="29" t="n"/>
      <c r="I24" s="28" t="n"/>
      <c r="J24" s="44">
        <f>主计划!N12</f>
        <v/>
      </c>
      <c r="K24" s="44">
        <f>主计划!O12</f>
        <v/>
      </c>
      <c r="L24" s="29">
        <f>主计划!P12</f>
        <v/>
      </c>
      <c r="M24" s="29" t="n"/>
      <c r="N24" s="44">
        <f>MIN(N25:N25)</f>
        <v/>
      </c>
      <c r="O24" s="44">
        <f>MAX(O25:O25)</f>
        <v/>
      </c>
      <c r="P24" s="29">
        <f>NETWORKDAYS(N24,O24)</f>
        <v/>
      </c>
      <c r="Q24" s="28" t="inlineStr">
        <is>
          <t>陈本鸿</t>
        </is>
      </c>
      <c r="R24" s="28" t="n"/>
      <c r="S24" s="29">
        <f>IF(COUNTIF(S25:S25,"未完成")=COUNTA(S25:S25),"未完成",IF(COUNTIF(S25:S25,"已完成")=COUNTA(S25:S25),"已完成","进行中"))</f>
        <v/>
      </c>
      <c r="T24" s="28" t="n"/>
      <c r="U24" s="23" t="n"/>
    </row>
    <row r="25">
      <c r="A25" s="24" t="n"/>
      <c r="B25" s="24" t="n"/>
      <c r="C25" s="36" t="n"/>
      <c r="D25" s="33" t="inlineStr">
        <is>
          <t>指导组建客户团队</t>
        </is>
      </c>
      <c r="E25" s="33" t="n"/>
      <c r="F25" s="23" t="n"/>
      <c r="G25" s="34" t="n"/>
      <c r="H25" s="34" t="inlineStr">
        <is>
          <t>√</t>
        </is>
      </c>
      <c r="I25" s="34" t="n"/>
      <c r="J25" s="45">
        <f>J24</f>
        <v/>
      </c>
      <c r="K25" s="45">
        <f>_xlfn.WORKDAY.INTL(J25,L25-1,1,法定节假日!$B$2:$B$67)</f>
        <v/>
      </c>
      <c r="L25" s="34">
        <f>L24</f>
        <v/>
      </c>
      <c r="M25" s="34" t="n"/>
      <c r="N25" s="45" t="n"/>
      <c r="O25" s="45" t="n"/>
      <c r="P25" s="34">
        <f>NETWORKDAYS(N25,O25)</f>
        <v/>
      </c>
      <c r="Q25" s="23" t="n"/>
      <c r="R25" s="23" t="n"/>
      <c r="S25" s="34" t="inlineStr">
        <is>
          <t>未完成</t>
        </is>
      </c>
      <c r="T25" s="23" t="n"/>
      <c r="U25" s="23" t="n"/>
    </row>
    <row r="26" ht="16.5" customHeight="1" s="2">
      <c r="A26" s="24" t="n"/>
      <c r="B26" s="31" t="inlineStr">
        <is>
          <t>1.3.2</t>
        </is>
      </c>
      <c r="C26" s="31" t="inlineStr">
        <is>
          <t>客户方准备办公环境</t>
        </is>
      </c>
      <c r="D26" s="28" t="n"/>
      <c r="E26" s="28" t="n"/>
      <c r="F26" s="28" t="n"/>
      <c r="G26" s="29" t="n"/>
      <c r="H26" s="29" t="n"/>
      <c r="I26" s="28" t="n"/>
      <c r="J26" s="44">
        <f>主计划!N13</f>
        <v/>
      </c>
      <c r="K26" s="44">
        <f>主计划!O13</f>
        <v/>
      </c>
      <c r="L26" s="29">
        <f>主计划!P13</f>
        <v/>
      </c>
      <c r="M26" s="29" t="n"/>
      <c r="N26" s="44">
        <f>MIN(N27:N27)</f>
        <v/>
      </c>
      <c r="O26" s="44">
        <f>MAX(O27:O27)</f>
        <v/>
      </c>
      <c r="P26" s="29">
        <f>NETWORKDAYS(N26,O26)</f>
        <v/>
      </c>
      <c r="Q26" s="28" t="inlineStr">
        <is>
          <t>陈本鸿</t>
        </is>
      </c>
      <c r="R26" s="28" t="n"/>
      <c r="S26" s="29">
        <f>IF(COUNTIF(S27:S27,"未完成")=COUNTA(S27:S27),"未完成",IF(COUNTIF(S27:S27,"已完成")=COUNTA(S27:S27),"已完成","进行中"))</f>
        <v/>
      </c>
      <c r="T26" s="28" t="n"/>
      <c r="U26" s="23" t="n"/>
    </row>
    <row r="27" ht="16.5" customHeight="1" s="2">
      <c r="A27" s="24" t="n"/>
      <c r="B27" s="24" t="n"/>
      <c r="C27" s="36" t="n"/>
      <c r="D27" s="33" t="inlineStr">
        <is>
          <t>客户办公环境准备</t>
        </is>
      </c>
      <c r="E27" s="33" t="n"/>
      <c r="F27" s="23" t="n"/>
      <c r="G27" s="34" t="n"/>
      <c r="H27" s="34" t="n"/>
      <c r="I27" s="23" t="n"/>
      <c r="J27" s="51">
        <f>J26</f>
        <v/>
      </c>
      <c r="K27" s="45">
        <f>_xlfn.WORKDAY.INTL(J27,L27-1,1,法定节假日!$B$2:$B$67)</f>
        <v/>
      </c>
      <c r="L27" s="56">
        <f>L26</f>
        <v/>
      </c>
      <c r="M27" s="56" t="n"/>
      <c r="N27" s="51" t="n"/>
      <c r="O27" s="51" t="n"/>
      <c r="P27" s="34">
        <f>NETWORKDAYS(N27,O27)</f>
        <v/>
      </c>
      <c r="Q27" s="23" t="n"/>
      <c r="R27" s="23" t="n"/>
      <c r="S27" s="34" t="inlineStr">
        <is>
          <t>未完成</t>
        </is>
      </c>
      <c r="T27" s="23" t="n"/>
      <c r="U27" s="23" t="n"/>
    </row>
    <row r="28" ht="16.5" customHeight="1" s="2">
      <c r="A28" s="24" t="n"/>
      <c r="B28" s="31" t="inlineStr">
        <is>
          <t>1.3.3</t>
        </is>
      </c>
      <c r="C28" s="31" t="inlineStr">
        <is>
          <t>项目管理规划</t>
        </is>
      </c>
      <c r="D28" s="28" t="n"/>
      <c r="E28" s="28" t="n"/>
      <c r="F28" s="28" t="n"/>
      <c r="G28" s="29" t="n"/>
      <c r="H28" s="29" t="n"/>
      <c r="I28" s="28" t="n"/>
      <c r="J28" s="44">
        <f>主计划!N14</f>
        <v/>
      </c>
      <c r="K28" s="44">
        <f>主计划!O14</f>
        <v/>
      </c>
      <c r="L28" s="29">
        <f>主计划!P14</f>
        <v/>
      </c>
      <c r="M28" s="29" t="n"/>
      <c r="N28" s="44">
        <f>MIN(N29:N29)</f>
        <v/>
      </c>
      <c r="O28" s="44">
        <f>MAX(O29:O29)</f>
        <v/>
      </c>
      <c r="P28" s="29">
        <f>NETWORKDAYS(N28,O28)</f>
        <v/>
      </c>
      <c r="Q28" s="28" t="inlineStr">
        <is>
          <t>陈本鸿</t>
        </is>
      </c>
      <c r="R28" s="28" t="n"/>
      <c r="S28" s="29">
        <f>IF(COUNTIF(S29:S29,"未完成")=COUNTA(S29:S29),"未完成",IF(COUNTIF(S29:S29,"已完成")=COUNTA(S29:S29),"已完成","进行中"))</f>
        <v/>
      </c>
      <c r="T28" s="28" t="n"/>
      <c r="U28" s="23" t="n"/>
    </row>
    <row r="29" ht="16.5" customHeight="1" s="2">
      <c r="A29" s="24" t="n"/>
      <c r="B29" s="24" t="n"/>
      <c r="C29" s="36" t="n"/>
      <c r="D29" s="33" t="inlineStr">
        <is>
          <t>项目管理方案确定</t>
        </is>
      </c>
      <c r="E29" s="33" t="n"/>
      <c r="F29" s="23" t="n"/>
      <c r="G29" s="34" t="n"/>
      <c r="H29" s="34" t="inlineStr">
        <is>
          <t>√</t>
        </is>
      </c>
      <c r="I29" s="34" t="inlineStr">
        <is>
          <t>√</t>
        </is>
      </c>
      <c r="J29" s="51">
        <f>J28</f>
        <v/>
      </c>
      <c r="K29" s="45">
        <f>_xlfn.WORKDAY.INTL(J29,L29-1,1,法定节假日!$B$2:$B$67)</f>
        <v/>
      </c>
      <c r="L29" s="34">
        <f>L28</f>
        <v/>
      </c>
      <c r="M29" s="34" t="n"/>
      <c r="N29" s="45" t="n"/>
      <c r="O29" s="45" t="n"/>
      <c r="P29" s="34">
        <f>NETWORKDAYS(N29,O29)</f>
        <v/>
      </c>
      <c r="Q29" s="23" t="n"/>
      <c r="R29" s="23" t="n"/>
      <c r="S29" s="34" t="inlineStr">
        <is>
          <t>未完成</t>
        </is>
      </c>
      <c r="T29" s="23" t="n"/>
      <c r="U29" s="23" t="n"/>
    </row>
    <row r="30" ht="16.5" customHeight="1" s="2">
      <c r="A30" s="24" t="n"/>
      <c r="B30" s="31" t="inlineStr">
        <is>
          <t>1.3.4</t>
        </is>
      </c>
      <c r="C30" s="31" t="inlineStr">
        <is>
          <t>召开启动会</t>
        </is>
      </c>
      <c r="D30" s="28" t="n"/>
      <c r="E30" s="28" t="n"/>
      <c r="F30" s="28" t="n"/>
      <c r="G30" s="29" t="n"/>
      <c r="H30" s="29" t="n"/>
      <c r="I30" s="28" t="n"/>
      <c r="J30" s="44">
        <f>主计划!N15</f>
        <v/>
      </c>
      <c r="K30" s="44">
        <f>主计划!O15</f>
        <v/>
      </c>
      <c r="L30" s="29">
        <f>主计划!P15</f>
        <v/>
      </c>
      <c r="M30" s="29" t="n"/>
      <c r="N30" s="44">
        <f>MIN(N31:N33)</f>
        <v/>
      </c>
      <c r="O30" s="44">
        <f>MAX(O31:O33)</f>
        <v/>
      </c>
      <c r="P30" s="29">
        <f>NETWORKDAYS(N30,O30)</f>
        <v/>
      </c>
      <c r="Q30" s="28" t="inlineStr">
        <is>
          <t>周年根</t>
        </is>
      </c>
      <c r="R30" s="28" t="n"/>
      <c r="S30" s="29">
        <f>IF(COUNTIF(S31:S33,"未完成")=COUNTA(S31:S33),"未完成",IF(COUNTIF(S31:S33,"已完成")=COUNTA(S31:S33),"已完成","进行中"))</f>
        <v/>
      </c>
      <c r="T30" s="28" t="n"/>
      <c r="U30" s="23" t="n"/>
    </row>
    <row r="31" ht="16.5" customHeight="1" s="2">
      <c r="A31" s="24" t="n"/>
      <c r="B31" s="36" t="n"/>
      <c r="C31" s="36" t="n"/>
      <c r="D31" s="33" t="inlineStr">
        <is>
          <t>启动会流程讨论</t>
        </is>
      </c>
      <c r="E31" s="33" t="n"/>
      <c r="F31" s="23" t="n"/>
      <c r="G31" s="34" t="n"/>
      <c r="H31" s="34" t="n"/>
      <c r="I31" s="34" t="n"/>
      <c r="J31" s="51">
        <f>J30</f>
        <v/>
      </c>
      <c r="K31" s="45">
        <f>_xlfn.WORKDAY.INTL(J31,L31-1,1,法定节假日!$B$2:$B$67)</f>
        <v/>
      </c>
      <c r="L31" s="34" t="n">
        <v>1</v>
      </c>
      <c r="M31" s="34" t="n"/>
      <c r="N31" s="45" t="n"/>
      <c r="O31" s="45" t="n"/>
      <c r="P31" s="34">
        <f>NETWORKDAYS(N31,O31)</f>
        <v/>
      </c>
      <c r="Q31" s="23" t="n"/>
      <c r="R31" s="23" t="n"/>
      <c r="S31" s="34" t="inlineStr">
        <is>
          <t>未完成</t>
        </is>
      </c>
      <c r="T31" s="23" t="n"/>
      <c r="U31" s="23" t="n"/>
    </row>
    <row r="32" ht="16.5" customHeight="1" s="2">
      <c r="A32" s="24" t="n"/>
      <c r="B32" s="16" t="n"/>
      <c r="C32" s="16" t="n"/>
      <c r="D32" s="33" t="inlineStr">
        <is>
          <t>启动会PPT制作与同行评审</t>
        </is>
      </c>
      <c r="E32" s="33" t="n"/>
      <c r="F32" s="23" t="n"/>
      <c r="G32" s="34" t="inlineStr">
        <is>
          <t>√</t>
        </is>
      </c>
      <c r="H32" s="34" t="inlineStr">
        <is>
          <t>√</t>
        </is>
      </c>
      <c r="I32" s="34" t="inlineStr">
        <is>
          <t>√</t>
        </is>
      </c>
      <c r="J32" s="51">
        <f>_xlfn.WORKDAY.INTL(K31,1,1,法定节假日!$B$2:$B$67)</f>
        <v/>
      </c>
      <c r="K32" s="45">
        <f>_xlfn.WORKDAY.INTL(J32,L32-1,1,法定节假日!$B$2:$B$67)</f>
        <v/>
      </c>
      <c r="L32" s="34" t="n">
        <v>1</v>
      </c>
      <c r="M32" s="34" t="n"/>
      <c r="N32" s="45" t="n"/>
      <c r="O32" s="45" t="n"/>
      <c r="P32" s="34">
        <f>NETWORKDAYS(N32,O32)</f>
        <v/>
      </c>
      <c r="Q32" s="23" t="n"/>
      <c r="R32" s="23" t="n"/>
      <c r="S32" s="34" t="inlineStr">
        <is>
          <t>未完成</t>
        </is>
      </c>
      <c r="T32" s="23" t="n"/>
      <c r="U32" s="23" t="n"/>
    </row>
    <row r="33" ht="16.5" customHeight="1" s="2">
      <c r="A33" s="24" t="n"/>
      <c r="B33" s="16" t="n"/>
      <c r="C33" s="16" t="n"/>
      <c r="D33" s="33" t="inlineStr">
        <is>
          <t>召开启动会</t>
        </is>
      </c>
      <c r="E33" s="33" t="n"/>
      <c r="F33" s="34" t="inlineStr">
        <is>
          <t>√</t>
        </is>
      </c>
      <c r="G33" s="34" t="n"/>
      <c r="H33" s="34" t="n"/>
      <c r="I33" s="34" t="n"/>
      <c r="J33" s="51">
        <f>_xlfn.WORKDAY.INTL(K32,1,1,法定节假日!$B$2:$B$67)</f>
        <v/>
      </c>
      <c r="K33" s="45">
        <f>_xlfn.WORKDAY.INTL(J33,L33-1,1,法定节假日!$B$2:$B$67)</f>
        <v/>
      </c>
      <c r="L33" s="34">
        <f>L30-SUM(L31:L32)</f>
        <v/>
      </c>
      <c r="M33" s="34" t="n"/>
      <c r="N33" s="45" t="n"/>
      <c r="O33" s="45" t="n"/>
      <c r="P33" s="34">
        <f>NETWORKDAYS(N33,O33)</f>
        <v/>
      </c>
      <c r="Q33" s="23" t="n"/>
      <c r="R33" s="23" t="n"/>
      <c r="S33" s="34" t="inlineStr">
        <is>
          <t>未完成</t>
        </is>
      </c>
      <c r="T33" s="23" t="n"/>
      <c r="U33" s="23" t="n"/>
    </row>
    <row r="37">
      <c r="B37" s="1" t="inlineStr">
        <is>
          <t>1、与主计划相同，每个阶段的WBS中，计划时间制定时，填写计划开始时间和工作日计划天数即可输出计划结束时间</t>
        </is>
      </c>
    </row>
    <row r="38">
      <c r="B38" s="1" t="inlineStr">
        <is>
          <t>2、二级任务实际开始时间和实际完成时间可通过编辑三四级任务完成时间识别出。</t>
        </is>
      </c>
    </row>
    <row r="39">
      <c r="B39" s="1" t="inlineStr">
        <is>
          <t>3、四级任务手动编辑实际开始时间和实际完成时间自动计算出实际工作天数</t>
        </is>
      </c>
    </row>
    <row r="40">
      <c r="B40" s="1" t="inlineStr">
        <is>
          <t>4、通过四级任务【状态】下拉框，选择状态为“未完成”、“进行中”和“已完成”，主计划中的任务状态会自动更新。</t>
        </is>
      </c>
    </row>
    <row r="41">
      <c r="B41" s="1" t="inlineStr">
        <is>
          <t>5、乱码没有关系，按照以上说明编辑乱码即可生成日期</t>
        </is>
      </c>
    </row>
  </sheetData>
  <mergeCells count="15">
    <mergeCell ref="U1:U2"/>
    <mergeCell ref="Q1:R1"/>
    <mergeCell ref="S1:T1"/>
    <mergeCell ref="J1:K1"/>
    <mergeCell ref="C1:C2"/>
    <mergeCell ref="B1:B2"/>
    <mergeCell ref="D1:D2"/>
    <mergeCell ref="E1:E2"/>
    <mergeCell ref="F1:F2"/>
    <mergeCell ref="I1:I2"/>
    <mergeCell ref="G1:G2"/>
    <mergeCell ref="M1:M2"/>
    <mergeCell ref="N1:O1"/>
    <mergeCell ref="H1:H2"/>
    <mergeCell ref="A1:A2"/>
  </mergeCells>
  <dataValidations count="2">
    <dataValidation sqref="M5:M10 M12:M13 M16 M18:M19 M21:M22 M25 M27 M29 M31:M33" showDropDown="0" showInputMessage="0" showErrorMessage="0" allowBlank="1" type="list">
      <formula1>"是"</formula1>
    </dataValidation>
    <dataValidation sqref="S5:S10 S12:S13 S16 S18:S19 S21:S22 S25 S27 S29 S31:S33" showDropDown="0" showInputMessage="0" showErrorMessage="0" allowBlank="1" type="list">
      <formula1>"未完成,进行中,已完成"</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U97"/>
  <sheetViews>
    <sheetView topLeftCell="D1" workbookViewId="0">
      <selection activeCell="P39" sqref="P39"/>
    </sheetView>
  </sheetViews>
  <sheetFormatPr baseColWidth="8" defaultColWidth="8.8359375" defaultRowHeight="14" customHeight="1" outlineLevelCol="0"/>
  <cols>
    <col width="9.1640625" customWidth="1" style="1" min="1" max="1"/>
    <col width="24.7265625" customWidth="1" style="1" min="3" max="3"/>
    <col width="28.1640625" customWidth="1" style="1" min="4" max="4"/>
    <col width="21.6640625" customWidth="1" style="1" min="5" max="5"/>
    <col width="7.3359375" customWidth="1" style="1" min="6" max="9"/>
    <col width="13.1640625" customWidth="1" style="1" min="10" max="11"/>
    <col width="10" customWidth="1" style="1" min="12" max="12"/>
    <col width="12.1640625" customWidth="1" style="1" min="13" max="13"/>
    <col width="13.1640625" customWidth="1" style="1" min="14" max="15"/>
    <col width="10.828125" customWidth="1" style="1" min="16" max="16"/>
  </cols>
  <sheetData>
    <row r="1" ht="16.5" customHeight="1" s="2">
      <c r="A1" s="13" t="inlineStr">
        <is>
          <t>二级流程
（场景）</t>
        </is>
      </c>
      <c r="B1" s="13" t="inlineStr">
        <is>
          <t>三级流程
（任务）</t>
        </is>
      </c>
      <c r="C1" s="14" t="inlineStr">
        <is>
          <t>任务名称</t>
        </is>
      </c>
      <c r="D1" s="14" t="inlineStr">
        <is>
          <t>WBS</t>
        </is>
      </c>
      <c r="E1" s="14" t="inlineStr">
        <is>
          <t>说明</t>
        </is>
      </c>
      <c r="F1" s="14" t="inlineStr">
        <is>
          <t>里程碑</t>
        </is>
      </c>
      <c r="G1" s="13" t="inlineStr">
        <is>
          <t>乙方
评审</t>
        </is>
      </c>
      <c r="H1" s="13" t="inlineStr">
        <is>
          <t>甲方
评审</t>
        </is>
      </c>
      <c r="I1" s="13" t="inlineStr">
        <is>
          <t>PMO
监控&amp;评审点</t>
        </is>
      </c>
      <c r="J1" s="15" t="inlineStr">
        <is>
          <t>计划时间</t>
        </is>
      </c>
      <c r="K1" s="121" t="n"/>
      <c r="L1" s="15" t="inlineStr">
        <is>
          <t>工作日</t>
        </is>
      </c>
      <c r="M1" s="15" t="inlineStr">
        <is>
          <t>是否与上个任务为前后置关系</t>
        </is>
      </c>
      <c r="N1" s="15" t="inlineStr">
        <is>
          <t>实际时间</t>
        </is>
      </c>
      <c r="O1" s="121" t="n"/>
      <c r="P1" s="15" t="inlineStr">
        <is>
          <t>工作日</t>
        </is>
      </c>
      <c r="Q1" s="15" t="inlineStr">
        <is>
          <t>执行人</t>
        </is>
      </c>
      <c r="R1" s="121" t="n"/>
      <c r="S1" s="15" t="inlineStr">
        <is>
          <t>进度</t>
        </is>
      </c>
      <c r="T1" s="121" t="n"/>
      <c r="U1" s="15" t="inlineStr">
        <is>
          <t>交付物</t>
        </is>
      </c>
    </row>
    <row r="2" ht="33" customHeight="1" s="2">
      <c r="A2" s="9" t="n"/>
      <c r="B2" s="9" t="n"/>
      <c r="C2" s="9" t="n"/>
      <c r="D2" s="9" t="n"/>
      <c r="E2" s="9" t="n"/>
      <c r="F2" s="9" t="n"/>
      <c r="G2" s="9" t="n"/>
      <c r="H2" s="9" t="n"/>
      <c r="I2" s="9" t="n"/>
      <c r="J2" s="15" t="inlineStr">
        <is>
          <t>计划开始</t>
        </is>
      </c>
      <c r="K2" s="15" t="inlineStr">
        <is>
          <t>计划结束</t>
        </is>
      </c>
      <c r="L2" s="15" t="inlineStr">
        <is>
          <t>计划天数</t>
        </is>
      </c>
      <c r="M2" s="9" t="n"/>
      <c r="N2" s="15" t="inlineStr">
        <is>
          <t>实际开始</t>
        </is>
      </c>
      <c r="O2" s="15" t="inlineStr">
        <is>
          <t>实际完成</t>
        </is>
      </c>
      <c r="P2" s="15" t="inlineStr">
        <is>
          <t>实际天数</t>
        </is>
      </c>
      <c r="Q2" s="15" t="inlineStr">
        <is>
          <t>主责</t>
        </is>
      </c>
      <c r="R2" s="15" t="inlineStr">
        <is>
          <t>协助或支持</t>
        </is>
      </c>
      <c r="S2" s="15" t="inlineStr">
        <is>
          <t>状态</t>
        </is>
      </c>
      <c r="T2" s="15" t="inlineStr">
        <is>
          <t>进度备注</t>
        </is>
      </c>
      <c r="U2" s="9" t="n"/>
    </row>
    <row r="3">
      <c r="A3" s="17" t="n">
        <v>2.1</v>
      </c>
      <c r="B3" s="17" t="n"/>
      <c r="C3" s="17" t="inlineStr">
        <is>
          <t>业务调研与分析</t>
        </is>
      </c>
      <c r="D3" s="17" t="n"/>
      <c r="E3" s="17" t="n"/>
      <c r="F3" s="19" t="n"/>
      <c r="G3" s="20" t="n"/>
      <c r="H3" s="20" t="n"/>
      <c r="I3" s="19" t="n"/>
      <c r="J3" s="42">
        <f>主计划!N17</f>
        <v/>
      </c>
      <c r="K3" s="42">
        <f>主计划!O17</f>
        <v/>
      </c>
      <c r="L3" s="20">
        <f>主计划!P17</f>
        <v/>
      </c>
      <c r="M3" s="20" t="n"/>
      <c r="N3" s="42">
        <f>MIN(N4:N29)</f>
        <v/>
      </c>
      <c r="O3" s="42">
        <f>MAX(O4:O29)</f>
        <v/>
      </c>
      <c r="P3" s="20">
        <f>NETWORKDAYS(N3,O3)</f>
        <v/>
      </c>
      <c r="Q3" s="19" t="inlineStr">
        <is>
          <t>陈本鸿</t>
        </is>
      </c>
      <c r="R3" s="19" t="n"/>
      <c r="S3" s="19">
        <f>IF(COUNTIF(S4:S29,"未完成")=COUNTA(S4:S29),"未完成",IF(COUNTIF(S4:S29,"已完成")=COUNTA(S4:S29),"已完成","进行中"))</f>
        <v/>
      </c>
      <c r="T3" s="19" t="n"/>
      <c r="U3" s="23" t="n"/>
    </row>
    <row r="4">
      <c r="A4" s="24" t="n"/>
      <c r="B4" s="31" t="inlineStr">
        <is>
          <t>2.1.1</t>
        </is>
      </c>
      <c r="C4" s="31" t="inlineStr">
        <is>
          <t>调研资料准备</t>
        </is>
      </c>
      <c r="D4" s="26" t="n"/>
      <c r="E4" s="26" t="n"/>
      <c r="F4" s="28" t="n"/>
      <c r="G4" s="29" t="n"/>
      <c r="H4" s="29" t="n"/>
      <c r="I4" s="28" t="n"/>
      <c r="J4" s="44">
        <f>主计划!N18</f>
        <v/>
      </c>
      <c r="K4" s="49">
        <f>主计划!O18</f>
        <v/>
      </c>
      <c r="L4" s="29">
        <f>主计划!P18</f>
        <v/>
      </c>
      <c r="M4" s="29" t="n"/>
      <c r="N4" s="44">
        <f>MIN(N5:N6)</f>
        <v/>
      </c>
      <c r="O4" s="44">
        <f>MAX(O5:O6)</f>
        <v/>
      </c>
      <c r="P4" s="29">
        <f>NETWORKDAYS(N4,O4)</f>
        <v/>
      </c>
      <c r="Q4" s="28" t="inlineStr">
        <is>
          <t>陈本鸿</t>
        </is>
      </c>
      <c r="R4" s="28" t="n"/>
      <c r="S4" s="28">
        <f>IF(COUNTIF(S5:S6,"未完成")=COUNTA(S5:S6),"未完成",IF(COUNTIF(S5:S6,"已完成")=COUNTA(S5:S6),"已完成","进行中"))</f>
        <v/>
      </c>
      <c r="T4" s="28" t="n"/>
      <c r="U4" s="23" t="n"/>
    </row>
    <row r="5">
      <c r="A5" s="24" t="n"/>
      <c r="B5" s="36" t="n"/>
      <c r="C5" s="36" t="n"/>
      <c r="D5" s="33" t="inlineStr">
        <is>
          <t>调研问卷用户确认</t>
        </is>
      </c>
      <c r="E5" s="33" t="n"/>
      <c r="F5" s="23" t="n"/>
      <c r="G5" s="34" t="n"/>
      <c r="H5" s="34" t="n"/>
      <c r="I5" s="23" t="n"/>
      <c r="J5" s="45">
        <f>J4</f>
        <v/>
      </c>
      <c r="K5" s="45">
        <f>_xlfn.WORKDAY.INTL(J5,L5-1,1,法定节假日!$B$2:$B$67)</f>
        <v/>
      </c>
      <c r="L5" s="34" t="n">
        <v>4</v>
      </c>
      <c r="M5" s="34" t="n"/>
      <c r="N5" s="45" t="n"/>
      <c r="O5" s="45" t="n"/>
      <c r="P5" s="34">
        <f>NETWORKDAYS(N5,O5)</f>
        <v/>
      </c>
      <c r="Q5" s="23" t="n"/>
      <c r="R5" s="23" t="n"/>
      <c r="S5" s="23" t="inlineStr">
        <is>
          <t>未完成</t>
        </is>
      </c>
      <c r="T5" s="23" t="n"/>
      <c r="U5" s="23" t="n"/>
    </row>
    <row r="6" ht="15" customHeight="1" s="2">
      <c r="A6" s="24" t="n"/>
      <c r="B6" s="16" t="n"/>
      <c r="C6" s="16" t="n"/>
      <c r="D6" s="33" t="inlineStr">
        <is>
          <t>用户调研计划制定与评审</t>
        </is>
      </c>
      <c r="E6" s="33" t="n"/>
      <c r="F6" s="23" t="n"/>
      <c r="G6" s="34" t="n"/>
      <c r="H6" s="34" t="n"/>
      <c r="I6" s="23" t="n"/>
      <c r="J6" s="45">
        <f>_xlfn.WORKDAY.INTL(K5,1,1,法定节假日!$B$2:$B$67)</f>
        <v/>
      </c>
      <c r="K6" s="45">
        <f>_xlfn.WORKDAY.INTL(J6,L6-1,1,法定节假日!$B$2:$B$67)</f>
        <v/>
      </c>
      <c r="L6" s="34">
        <f>L4-SUM(L5:L5)</f>
        <v/>
      </c>
      <c r="M6" s="34" t="n"/>
      <c r="N6" s="45" t="n"/>
      <c r="O6" s="45" t="n"/>
      <c r="P6" s="34">
        <f>NETWORKDAYS(N6,O6)</f>
        <v/>
      </c>
      <c r="Q6" s="23" t="n"/>
      <c r="R6" s="23" t="n"/>
      <c r="S6" s="23" t="inlineStr">
        <is>
          <t>未完成</t>
        </is>
      </c>
      <c r="T6" s="23" t="n"/>
      <c r="U6" s="23" t="n"/>
    </row>
    <row r="7">
      <c r="A7" s="24" t="n"/>
      <c r="B7" s="26" t="inlineStr">
        <is>
          <t>2.1.2</t>
        </is>
      </c>
      <c r="C7" s="26" t="inlineStr">
        <is>
          <t>DP模块-业务调研与模拟分析</t>
        </is>
      </c>
      <c r="D7" s="26" t="n"/>
      <c r="E7" s="26" t="n"/>
      <c r="F7" s="28" t="n"/>
      <c r="G7" s="29" t="n"/>
      <c r="H7" s="29" t="n"/>
      <c r="I7" s="28" t="n"/>
      <c r="J7" s="44">
        <f>主计划!N19</f>
        <v/>
      </c>
      <c r="K7" s="44">
        <f>主计划!O19</f>
        <v/>
      </c>
      <c r="L7" s="29">
        <f>主计划!P19</f>
        <v/>
      </c>
      <c r="M7" s="29" t="n"/>
      <c r="N7" s="44">
        <f>MIN(N8:N12)</f>
        <v/>
      </c>
      <c r="O7" s="44">
        <f>MAX(O8:O12)</f>
        <v/>
      </c>
      <c r="P7" s="29">
        <f>NETWORKDAYS(N7,O7)</f>
        <v/>
      </c>
      <c r="Q7" s="28" t="inlineStr">
        <is>
          <t>文叶</t>
        </is>
      </c>
      <c r="R7" s="28" t="n"/>
      <c r="S7" s="28">
        <f>IF(COUNTIF(S8:S12,"未完成")=COUNTA(S8:S12),"未完成",IF(COUNTIF(S8:S12,"已完成")=COUNTA(S8:S12),"已完成","进行中"))</f>
        <v/>
      </c>
      <c r="T7" s="28" t="n"/>
      <c r="U7" s="23" t="n"/>
    </row>
    <row r="8" ht="15" customHeight="1" s="2">
      <c r="A8" s="24" t="n"/>
      <c r="B8" s="50" t="n"/>
      <c r="C8" s="23" t="n"/>
      <c r="D8" s="33" t="inlineStr">
        <is>
          <t>对接埃森哲调研成果</t>
        </is>
      </c>
      <c r="E8" s="33" t="n"/>
      <c r="F8" s="23" t="n"/>
      <c r="G8" s="34" t="n"/>
      <c r="H8" s="34" t="n"/>
      <c r="I8" s="23" t="n"/>
      <c r="J8" s="51">
        <f>J7</f>
        <v/>
      </c>
      <c r="K8" s="45">
        <f>_xlfn.WORKDAY.INTL(J8,L8-1,1,法定节假日!$B$2:$B$67)</f>
        <v/>
      </c>
      <c r="L8" s="34" t="n">
        <v>2</v>
      </c>
      <c r="M8" s="34" t="n"/>
      <c r="N8" s="45" t="n"/>
      <c r="O8" s="45" t="n"/>
      <c r="P8" s="34">
        <f>NETWORKDAYS(N8,O8)</f>
        <v/>
      </c>
      <c r="Q8" s="23" t="n"/>
      <c r="R8" s="23" t="n"/>
      <c r="S8" s="23" t="inlineStr">
        <is>
          <t>未完成</t>
        </is>
      </c>
      <c r="T8" s="23" t="n"/>
      <c r="U8" s="23" t="n"/>
    </row>
    <row r="9">
      <c r="A9" s="24" t="n"/>
      <c r="B9" s="33" t="n"/>
      <c r="C9" s="33" t="n"/>
      <c r="D9" s="33" t="inlineStr">
        <is>
          <t>初版业务场景流程梳理</t>
        </is>
      </c>
      <c r="E9" s="33" t="n"/>
      <c r="F9" s="23" t="n"/>
      <c r="G9" s="34" t="n"/>
      <c r="H9" s="34" t="n"/>
      <c r="I9" s="23" t="n"/>
      <c r="J9" s="51">
        <f>_xlfn.WORKDAY.INTL(K8,1,1,法定节假日!$B$2:$B$67)</f>
        <v/>
      </c>
      <c r="K9" s="45">
        <f>_xlfn.WORKDAY.INTL(J9,L9-1,1,法定节假日!$B$2:$B$67)</f>
        <v/>
      </c>
      <c r="L9" s="34" t="n">
        <v>4</v>
      </c>
      <c r="M9" s="34" t="n"/>
      <c r="N9" s="45" t="n"/>
      <c r="O9" s="45" t="n"/>
      <c r="P9" s="34">
        <f>NETWORKDAYS(N9,O9)</f>
        <v/>
      </c>
      <c r="Q9" s="23" t="n"/>
      <c r="R9" s="23" t="n"/>
      <c r="S9" s="23" t="inlineStr">
        <is>
          <t>未完成</t>
        </is>
      </c>
      <c r="T9" s="23" t="n"/>
      <c r="U9" s="23" t="n"/>
    </row>
    <row r="10">
      <c r="A10" s="24" t="n"/>
      <c r="B10" s="33" t="n"/>
      <c r="C10" s="33" t="n"/>
      <c r="D10" s="33" t="inlineStr">
        <is>
          <t>业务流程差异分析及讨论</t>
        </is>
      </c>
      <c r="E10" s="33" t="n"/>
      <c r="F10" s="23" t="n"/>
      <c r="G10" s="34" t="n"/>
      <c r="H10" s="34" t="n"/>
      <c r="I10" s="23" t="n"/>
      <c r="J10" s="51">
        <f>_xlfn.WORKDAY.INTL(K9,1,1,法定节假日!$B$2:$B$67)</f>
        <v/>
      </c>
      <c r="K10" s="45">
        <f>_xlfn.WORKDAY.INTL(J10,L10-1,1,法定节假日!$B$2:$B$67)</f>
        <v/>
      </c>
      <c r="L10" s="34" t="n">
        <v>5</v>
      </c>
      <c r="M10" s="34" t="n"/>
      <c r="N10" s="45" t="n"/>
      <c r="O10" s="45" t="n"/>
      <c r="P10" s="34">
        <f>NETWORKDAYS(N10,O10)</f>
        <v/>
      </c>
      <c r="Q10" s="23" t="n"/>
      <c r="R10" s="23" t="n"/>
      <c r="S10" s="23" t="inlineStr">
        <is>
          <t>未完成</t>
        </is>
      </c>
      <c r="T10" s="23" t="n"/>
      <c r="U10" s="23" t="n"/>
    </row>
    <row r="11">
      <c r="A11" s="24" t="n"/>
      <c r="B11" s="33" t="n"/>
      <c r="C11" s="33" t="n"/>
      <c r="D11" s="33" t="inlineStr">
        <is>
          <t>业务优化策略确认</t>
        </is>
      </c>
      <c r="E11" s="33" t="n"/>
      <c r="F11" s="23" t="n"/>
      <c r="G11" s="34" t="n"/>
      <c r="H11" s="34" t="n"/>
      <c r="I11" s="23" t="n"/>
      <c r="J11" s="51">
        <f>_xlfn.WORKDAY.INTL(K10,1,1,法定节假日!$B$2:$B$67)</f>
        <v/>
      </c>
      <c r="K11" s="45">
        <f>_xlfn.WORKDAY.INTL(J11,L11-1,1,法定节假日!$B$2:$B$67)</f>
        <v/>
      </c>
      <c r="L11" s="34" t="n">
        <v>5</v>
      </c>
      <c r="M11" s="34" t="n"/>
      <c r="N11" s="45" t="n"/>
      <c r="O11" s="45" t="n"/>
      <c r="P11" s="34">
        <f>NETWORKDAYS(N11,O11)</f>
        <v/>
      </c>
      <c r="Q11" s="23" t="n"/>
      <c r="R11" s="23" t="n"/>
      <c r="S11" s="23" t="inlineStr">
        <is>
          <t>未完成</t>
        </is>
      </c>
      <c r="T11" s="23" t="n"/>
      <c r="U11" s="23" t="n"/>
    </row>
    <row r="12">
      <c r="A12" s="24" t="n"/>
      <c r="B12" s="33" t="n"/>
      <c r="C12" s="33" t="n"/>
      <c r="D12" s="33" t="inlineStr">
        <is>
          <t>接口清单梳理与确认</t>
        </is>
      </c>
      <c r="E12" s="33" t="n"/>
      <c r="F12" s="23" t="n"/>
      <c r="G12" s="34" t="n"/>
      <c r="H12" s="34" t="n"/>
      <c r="I12" s="23" t="n"/>
      <c r="J12" s="51">
        <f>_xlfn.WORKDAY.INTL(K11,1,1,法定节假日!$B$2:$B$67)</f>
        <v/>
      </c>
      <c r="K12" s="45">
        <f>_xlfn.WORKDAY.INTL(J12,L12-1,1,法定节假日!$B$2:$B$67)</f>
        <v/>
      </c>
      <c r="L12" s="34">
        <f>L7-SUM(L8:L11)</f>
        <v/>
      </c>
      <c r="M12" s="34" t="n"/>
      <c r="N12" s="45" t="n"/>
      <c r="O12" s="45" t="n"/>
      <c r="P12" s="34">
        <f>NETWORKDAYS(N12,O12)</f>
        <v/>
      </c>
      <c r="Q12" s="23" t="n"/>
      <c r="R12" s="23" t="n"/>
      <c r="S12" s="23" t="inlineStr">
        <is>
          <t>未完成</t>
        </is>
      </c>
      <c r="T12" s="23" t="n"/>
      <c r="U12" s="23" t="n"/>
    </row>
    <row r="13">
      <c r="A13" s="24" t="n"/>
      <c r="B13" s="26" t="inlineStr">
        <is>
          <t>2.1.3</t>
        </is>
      </c>
      <c r="C13" s="26" t="inlineStr">
        <is>
          <t>APS模块-业务调研与模拟分析</t>
        </is>
      </c>
      <c r="D13" s="26" t="n"/>
      <c r="E13" s="26" t="n"/>
      <c r="F13" s="28" t="n"/>
      <c r="G13" s="29" t="n"/>
      <c r="H13" s="29" t="n"/>
      <c r="I13" s="28" t="n"/>
      <c r="J13" s="44">
        <f>主计划!N20</f>
        <v/>
      </c>
      <c r="K13" s="44">
        <f>主计划!O20</f>
        <v/>
      </c>
      <c r="L13" s="29">
        <f>主计划!P20</f>
        <v/>
      </c>
      <c r="M13" s="29" t="n"/>
      <c r="N13" s="44">
        <f>MIN(N14:N18)</f>
        <v/>
      </c>
      <c r="O13" s="44">
        <f>MAX(O14:O18)</f>
        <v/>
      </c>
      <c r="P13" s="29">
        <f>NETWORKDAYS(N13,O13)</f>
        <v/>
      </c>
      <c r="Q13" s="28" t="inlineStr">
        <is>
          <t>AP王旭东、AS林寒欣</t>
        </is>
      </c>
      <c r="R13" s="28" t="n"/>
      <c r="S13" s="28">
        <f>IF(COUNTIF(S14:S18,"未完成")=COUNTA(S14:S18),"未完成",IF(COUNTIF(S14:S18,"已完成")=COUNTA(S14:S18),"已完成","进行中"))</f>
        <v/>
      </c>
      <c r="T13" s="28" t="n"/>
      <c r="U13" s="23" t="n"/>
    </row>
    <row r="14">
      <c r="A14" s="24" t="n"/>
      <c r="B14" s="36" t="n"/>
      <c r="C14" s="36" t="n"/>
      <c r="D14" s="33" t="inlineStr">
        <is>
          <t>对接埃森哲调研成果</t>
        </is>
      </c>
      <c r="E14" s="33" t="n"/>
      <c r="F14" s="23" t="n"/>
      <c r="G14" s="34" t="n"/>
      <c r="H14" s="34" t="n"/>
      <c r="I14" s="23" t="n"/>
      <c r="J14" s="45">
        <f>J13</f>
        <v/>
      </c>
      <c r="K14" s="45">
        <f>_xlfn.WORKDAY.INTL(J14,L14-1,1,法定节假日!$B$2:$B$67)</f>
        <v/>
      </c>
      <c r="L14" s="34" t="n">
        <v>4</v>
      </c>
      <c r="M14" s="34" t="n"/>
      <c r="N14" s="45" t="n"/>
      <c r="O14" s="45" t="n"/>
      <c r="P14" s="34">
        <f>NETWORKDAYS(N14,O14)</f>
        <v/>
      </c>
      <c r="Q14" s="23" t="n"/>
      <c r="R14" s="23" t="n"/>
      <c r="S14" s="23" t="inlineStr">
        <is>
          <t>未完成</t>
        </is>
      </c>
      <c r="T14" s="23" t="n"/>
      <c r="U14" s="23" t="n"/>
    </row>
    <row r="15" ht="15" customHeight="1" s="2">
      <c r="A15" s="24" t="n"/>
      <c r="B15" s="16" t="n"/>
      <c r="C15" s="16" t="n"/>
      <c r="D15" s="33" t="inlineStr">
        <is>
          <t>初版业务场景流程梳理</t>
        </is>
      </c>
      <c r="E15" s="33" t="n"/>
      <c r="F15" s="23" t="n"/>
      <c r="G15" s="34" t="n"/>
      <c r="H15" s="34" t="n"/>
      <c r="I15" s="23" t="n"/>
      <c r="J15" s="51">
        <f>_xlfn.WORKDAY.INTL(K14,1,1,法定节假日!$B$2:$B$67)</f>
        <v/>
      </c>
      <c r="K15" s="45">
        <f>_xlfn.WORKDAY.INTL(J15,L15-1,1,法定节假日!$B$2:$B$67)</f>
        <v/>
      </c>
      <c r="L15" s="34" t="n">
        <v>8</v>
      </c>
      <c r="M15" s="34" t="n"/>
      <c r="N15" s="45" t="n"/>
      <c r="O15" s="45" t="n"/>
      <c r="P15" s="34">
        <f>NETWORKDAYS(N15,O15)</f>
        <v/>
      </c>
      <c r="Q15" s="23" t="n"/>
      <c r="R15" s="23" t="n"/>
      <c r="S15" s="23" t="inlineStr">
        <is>
          <t>未完成</t>
        </is>
      </c>
      <c r="T15" s="23" t="n"/>
      <c r="U15" s="23" t="n"/>
    </row>
    <row r="16" ht="15" customHeight="1" s="2">
      <c r="A16" s="24" t="n"/>
      <c r="B16" s="16" t="n"/>
      <c r="C16" s="16" t="n"/>
      <c r="D16" s="33" t="inlineStr">
        <is>
          <t>业务流程差异分析及讨论</t>
        </is>
      </c>
      <c r="E16" s="33" t="n"/>
      <c r="F16" s="23" t="n"/>
      <c r="G16" s="34" t="n"/>
      <c r="H16" s="34" t="n"/>
      <c r="I16" s="23" t="n"/>
      <c r="J16" s="51">
        <f>_xlfn.WORKDAY.INTL(K15,1,1,法定节假日!$B$2:$B$67)</f>
        <v/>
      </c>
      <c r="K16" s="45">
        <f>_xlfn.WORKDAY.INTL(J16,L16-1,1,法定节假日!$B$2:$B$67)</f>
        <v/>
      </c>
      <c r="L16" s="34" t="n">
        <v>9</v>
      </c>
      <c r="M16" s="34" t="n"/>
      <c r="N16" s="45" t="n"/>
      <c r="O16" s="45" t="n"/>
      <c r="P16" s="34">
        <f>NETWORKDAYS(N16,O16)</f>
        <v/>
      </c>
      <c r="Q16" s="23" t="n"/>
      <c r="R16" s="23" t="n"/>
      <c r="S16" s="23" t="inlineStr">
        <is>
          <t>未完成</t>
        </is>
      </c>
      <c r="T16" s="23" t="n"/>
      <c r="U16" s="23" t="n"/>
    </row>
    <row r="17" ht="15" customHeight="1" s="2">
      <c r="A17" s="24" t="n"/>
      <c r="B17" s="16" t="n"/>
      <c r="C17" s="16" t="n"/>
      <c r="D17" s="33" t="inlineStr">
        <is>
          <t>业务优化策略确认</t>
        </is>
      </c>
      <c r="E17" s="33" t="n"/>
      <c r="F17" s="23" t="n"/>
      <c r="G17" s="34" t="n"/>
      <c r="H17" s="34" t="n"/>
      <c r="I17" s="23" t="n"/>
      <c r="J17" s="51">
        <f>_xlfn.WORKDAY.INTL(K16,1,1,法定节假日!$B$2:$B$67)</f>
        <v/>
      </c>
      <c r="K17" s="45">
        <f>_xlfn.WORKDAY.INTL(J17,L17-1,1,法定节假日!$B$2:$B$67)</f>
        <v/>
      </c>
      <c r="L17" s="34" t="n">
        <v>9</v>
      </c>
      <c r="M17" s="34" t="n"/>
      <c r="N17" s="45" t="n"/>
      <c r="O17" s="45" t="n"/>
      <c r="P17" s="34">
        <f>NETWORKDAYS(N17,O17)</f>
        <v/>
      </c>
      <c r="Q17" s="23" t="n"/>
      <c r="R17" s="23" t="n"/>
      <c r="S17" s="23" t="inlineStr">
        <is>
          <t>未完成</t>
        </is>
      </c>
      <c r="T17" s="23" t="n"/>
      <c r="U17" s="23" t="n"/>
    </row>
    <row r="18" ht="15" customHeight="1" s="2">
      <c r="A18" s="24" t="n"/>
      <c r="B18" s="16" t="n"/>
      <c r="C18" s="16" t="n"/>
      <c r="D18" s="33" t="inlineStr">
        <is>
          <t>接口清单梳理与确认</t>
        </is>
      </c>
      <c r="E18" s="33" t="n"/>
      <c r="F18" s="23" t="n"/>
      <c r="G18" s="34" t="n"/>
      <c r="H18" s="34" t="n"/>
      <c r="I18" s="23" t="n"/>
      <c r="J18" s="51">
        <f>_xlfn.WORKDAY.INTL(K17,1,1,法定节假日!$B$2:$B$67)</f>
        <v/>
      </c>
      <c r="K18" s="45">
        <f>_xlfn.WORKDAY.INTL(J18,L18-1,1,法定节假日!$B$2:$B$67)</f>
        <v/>
      </c>
      <c r="L18" s="34">
        <f>L13-SUM(L14:L17)</f>
        <v/>
      </c>
      <c r="M18" s="34" t="n"/>
      <c r="N18" s="45" t="n"/>
      <c r="O18" s="45" t="n"/>
      <c r="P18" s="34">
        <f>NETWORKDAYS(N18,O18)</f>
        <v/>
      </c>
      <c r="Q18" s="23" t="n"/>
      <c r="R18" s="23" t="n"/>
      <c r="S18" s="23" t="inlineStr">
        <is>
          <t>未完成</t>
        </is>
      </c>
      <c r="T18" s="23" t="n"/>
      <c r="U18" s="23" t="n"/>
    </row>
    <row r="19">
      <c r="A19" s="24" t="n"/>
      <c r="B19" s="26" t="inlineStr">
        <is>
          <t>2.1.4</t>
        </is>
      </c>
      <c r="C19" s="26" t="inlineStr">
        <is>
          <t>IP模块-业务调研与模拟分析</t>
        </is>
      </c>
      <c r="D19" s="26" t="n"/>
      <c r="E19" s="26" t="n"/>
      <c r="F19" s="28" t="n"/>
      <c r="G19" s="29" t="n"/>
      <c r="H19" s="29" t="n"/>
      <c r="I19" s="28" t="n"/>
      <c r="J19" s="44">
        <f>主计划!N21</f>
        <v/>
      </c>
      <c r="K19" s="44">
        <f>主计划!O21</f>
        <v/>
      </c>
      <c r="L19" s="29">
        <f>主计划!P21</f>
        <v/>
      </c>
      <c r="M19" s="29" t="n"/>
      <c r="N19" s="44">
        <f>MIN(N20:N24)</f>
        <v/>
      </c>
      <c r="O19" s="44">
        <f>MAX(O20:O24)</f>
        <v/>
      </c>
      <c r="P19" s="29">
        <f>NETWORKDAYS(N19,O19)</f>
        <v/>
      </c>
      <c r="Q19" s="28" t="inlineStr">
        <is>
          <t>宋沛霖</t>
        </is>
      </c>
      <c r="R19" s="28" t="n"/>
      <c r="S19" s="28">
        <f>IF(COUNTIF(S20:S24,"未完成")=COUNTA(S20:S24),"未完成",IF(COUNTIF(S20:S24,"已完成")=COUNTA(S20:S24),"已完成","进行中"))</f>
        <v/>
      </c>
      <c r="T19" s="28" t="n"/>
      <c r="U19" s="23" t="n"/>
    </row>
    <row r="20">
      <c r="A20" s="24" t="n"/>
      <c r="B20" s="36" t="n"/>
      <c r="C20" s="36" t="n"/>
      <c r="D20" s="33" t="inlineStr">
        <is>
          <t>对接埃森哲调研成果</t>
        </is>
      </c>
      <c r="E20" s="33" t="n"/>
      <c r="F20" s="23" t="n"/>
      <c r="G20" s="34" t="n"/>
      <c r="H20" s="34" t="n"/>
      <c r="I20" s="23" t="n"/>
      <c r="J20" s="51">
        <f>J19</f>
        <v/>
      </c>
      <c r="K20" s="45">
        <f>_xlfn.WORKDAY.INTL(J20,L20-1,1,法定节假日!$B$2:$B$67)</f>
        <v/>
      </c>
      <c r="L20" s="34" t="n">
        <v>2</v>
      </c>
      <c r="M20" s="34" t="n"/>
      <c r="N20" s="45" t="n"/>
      <c r="O20" s="45" t="n"/>
      <c r="P20" s="34">
        <f>NETWORKDAYS(N20,O20)</f>
        <v/>
      </c>
      <c r="Q20" s="23" t="n"/>
      <c r="R20" s="23" t="n"/>
      <c r="S20" s="23" t="inlineStr">
        <is>
          <t>未完成</t>
        </is>
      </c>
      <c r="T20" s="23" t="n"/>
      <c r="U20" s="23" t="n"/>
    </row>
    <row r="21" ht="15" customHeight="1" s="2">
      <c r="A21" s="24" t="n"/>
      <c r="B21" s="16" t="n"/>
      <c r="C21" s="16" t="n"/>
      <c r="D21" s="33" t="inlineStr">
        <is>
          <t>初版业务场景流程梳理</t>
        </is>
      </c>
      <c r="E21" s="33" t="n"/>
      <c r="F21" s="23" t="n"/>
      <c r="G21" s="34" t="n"/>
      <c r="H21" s="34" t="n"/>
      <c r="I21" s="23" t="n"/>
      <c r="J21" s="51">
        <f>_xlfn.WORKDAY.INTL(K20,1,1,法定节假日!$B$2:$B$67)</f>
        <v/>
      </c>
      <c r="K21" s="45">
        <f>_xlfn.WORKDAY.INTL(J21,L21-1,1,法定节假日!$B$2:$B$67)</f>
        <v/>
      </c>
      <c r="L21" s="34" t="n">
        <v>5</v>
      </c>
      <c r="M21" s="34" t="n"/>
      <c r="N21" s="45" t="n"/>
      <c r="O21" s="45" t="n"/>
      <c r="P21" s="34">
        <f>NETWORKDAYS(N21,O21)</f>
        <v/>
      </c>
      <c r="Q21" s="23" t="n"/>
      <c r="R21" s="23" t="n"/>
      <c r="S21" s="23" t="inlineStr">
        <is>
          <t>未完成</t>
        </is>
      </c>
      <c r="T21" s="23" t="n"/>
      <c r="U21" s="23" t="n"/>
    </row>
    <row r="22" ht="15" customHeight="1" s="2">
      <c r="A22" s="24" t="n"/>
      <c r="B22" s="16" t="n"/>
      <c r="C22" s="16" t="n"/>
      <c r="D22" s="33" t="inlineStr">
        <is>
          <t>业务流程差异分析及讨论</t>
        </is>
      </c>
      <c r="E22" s="33" t="n"/>
      <c r="F22" s="23" t="n"/>
      <c r="G22" s="34" t="n"/>
      <c r="H22" s="34" t="n"/>
      <c r="I22" s="23" t="n"/>
      <c r="J22" s="51">
        <f>_xlfn.WORKDAY.INTL(K21,1,1,法定节假日!$B$2:$B$67)</f>
        <v/>
      </c>
      <c r="K22" s="45">
        <f>_xlfn.WORKDAY.INTL(J22,L22-1,1,法定节假日!$B$2:$B$67)</f>
        <v/>
      </c>
      <c r="L22" s="34" t="n">
        <v>5</v>
      </c>
      <c r="M22" s="34" t="n"/>
      <c r="N22" s="45" t="n"/>
      <c r="O22" s="45" t="n"/>
      <c r="P22" s="34">
        <f>NETWORKDAYS(N22,O22)</f>
        <v/>
      </c>
      <c r="Q22" s="23" t="n"/>
      <c r="R22" s="23" t="n"/>
      <c r="S22" s="23" t="inlineStr">
        <is>
          <t>未完成</t>
        </is>
      </c>
      <c r="T22" s="23" t="n"/>
      <c r="U22" s="23" t="n"/>
    </row>
    <row r="23" ht="15" customHeight="1" s="2">
      <c r="A23" s="24" t="n"/>
      <c r="B23" s="16" t="n"/>
      <c r="C23" s="16" t="n"/>
      <c r="D23" s="33" t="inlineStr">
        <is>
          <t>业务优化策略确认</t>
        </is>
      </c>
      <c r="E23" s="33" t="n"/>
      <c r="F23" s="23" t="n"/>
      <c r="G23" s="34" t="n"/>
      <c r="H23" s="34" t="n"/>
      <c r="I23" s="23" t="n"/>
      <c r="J23" s="51">
        <f>_xlfn.WORKDAY.INTL(K22,1,1,法定节假日!$B$2:$B$67)</f>
        <v/>
      </c>
      <c r="K23" s="45">
        <f>_xlfn.WORKDAY.INTL(J23,L23-1,1,法定节假日!$B$2:$B$67)</f>
        <v/>
      </c>
      <c r="L23" s="34" t="n">
        <v>5</v>
      </c>
      <c r="M23" s="34" t="n"/>
      <c r="N23" s="45" t="n"/>
      <c r="O23" s="45" t="n"/>
      <c r="P23" s="34">
        <f>NETWORKDAYS(N23,O23)</f>
        <v/>
      </c>
      <c r="Q23" s="23" t="n"/>
      <c r="R23" s="23" t="n"/>
      <c r="S23" s="23" t="inlineStr">
        <is>
          <t>未完成</t>
        </is>
      </c>
      <c r="T23" s="23" t="n"/>
      <c r="U23" s="23" t="n"/>
    </row>
    <row r="24" ht="15" customHeight="1" s="2">
      <c r="A24" s="24" t="n"/>
      <c r="B24" s="16" t="n"/>
      <c r="C24" s="16" t="n"/>
      <c r="D24" s="33" t="inlineStr">
        <is>
          <t>接口清单梳理与确认</t>
        </is>
      </c>
      <c r="E24" s="23" t="n"/>
      <c r="F24" s="23" t="n"/>
      <c r="G24" s="34" t="n"/>
      <c r="H24" s="34" t="n"/>
      <c r="I24" s="23" t="n"/>
      <c r="J24" s="51">
        <f>_xlfn.WORKDAY.INTL(K23,1,1,法定节假日!$B$2:$B$67)</f>
        <v/>
      </c>
      <c r="K24" s="45">
        <f>_xlfn.WORKDAY.INTL(J24,L24-1,1,法定节假日!$B$2:$B$67)</f>
        <v/>
      </c>
      <c r="L24" s="34">
        <f>L19-SUM(L20:L23)</f>
        <v/>
      </c>
      <c r="M24" s="34" t="n"/>
      <c r="N24" s="45" t="n"/>
      <c r="O24" s="45" t="n"/>
      <c r="P24" s="34">
        <f>NETWORKDAYS(N24,O24)</f>
        <v/>
      </c>
      <c r="Q24" s="23" t="n"/>
      <c r="R24" s="23" t="n"/>
      <c r="S24" s="23" t="inlineStr">
        <is>
          <t>未完成</t>
        </is>
      </c>
      <c r="T24" s="23" t="n"/>
      <c r="U24" s="23" t="n"/>
    </row>
    <row r="25">
      <c r="A25" s="24" t="n"/>
      <c r="B25" s="26" t="inlineStr">
        <is>
          <t>2.1.5</t>
        </is>
      </c>
      <c r="C25" s="26" t="inlineStr">
        <is>
          <t>调研分析报告制定与评审</t>
        </is>
      </c>
      <c r="D25" s="26" t="n"/>
      <c r="E25" s="26" t="n"/>
      <c r="F25" s="28" t="n"/>
      <c r="G25" s="29" t="n"/>
      <c r="H25" s="29" t="n"/>
      <c r="I25" s="28" t="n"/>
      <c r="J25" s="44">
        <f>主计划!N22</f>
        <v/>
      </c>
      <c r="K25" s="44">
        <f>主计划!O22</f>
        <v/>
      </c>
      <c r="L25" s="29">
        <f>主计划!P22</f>
        <v/>
      </c>
      <c r="M25" s="29" t="n"/>
      <c r="N25" s="44">
        <f>MIN(N26:N29)</f>
        <v/>
      </c>
      <c r="O25" s="44">
        <f>MAX(O26:O29)</f>
        <v/>
      </c>
      <c r="P25" s="29">
        <f>NETWORKDAYS(N25,O25)</f>
        <v/>
      </c>
      <c r="Q25" s="28" t="inlineStr">
        <is>
          <t>陈本鸿</t>
        </is>
      </c>
      <c r="R25" s="28" t="n"/>
      <c r="S25" s="28">
        <f>IF(COUNTIF(S26:S29,"未完成")=COUNTA(S26:S29),"未完成",IF(COUNTIF(S26:S29,"已完成")=COUNTA(S26:S29),"已完成","进行中"))</f>
        <v/>
      </c>
      <c r="T25" s="28" t="n"/>
      <c r="U25" s="23" t="n"/>
    </row>
    <row r="26">
      <c r="A26" s="24" t="n"/>
      <c r="B26" s="36" t="n"/>
      <c r="C26" s="36" t="n"/>
      <c r="D26" s="33" t="inlineStr">
        <is>
          <t>调研分析报告制定</t>
        </is>
      </c>
      <c r="E26" s="33" t="n"/>
      <c r="F26" s="23" t="n"/>
      <c r="G26" s="34" t="n"/>
      <c r="H26" s="34" t="n"/>
      <c r="I26" s="34" t="n"/>
      <c r="J26" s="45">
        <f>J25</f>
        <v/>
      </c>
      <c r="K26" s="45">
        <f>_xlfn.WORKDAY.INTL(J26,L26-1,1,法定节假日!$B$2:$B$67)</f>
        <v/>
      </c>
      <c r="L26" s="34" t="n">
        <v>1</v>
      </c>
      <c r="M26" s="34" t="n"/>
      <c r="N26" s="45" t="n"/>
      <c r="O26" s="45" t="n"/>
      <c r="P26" s="34">
        <f>NETWORKDAYS(N26,O26)</f>
        <v/>
      </c>
      <c r="Q26" s="23" t="n"/>
      <c r="R26" s="23" t="n"/>
      <c r="S26" s="23" t="inlineStr">
        <is>
          <t>未完成</t>
        </is>
      </c>
      <c r="T26" s="23" t="n"/>
      <c r="U26" s="23" t="n"/>
    </row>
    <row r="27" ht="15" customHeight="1" s="2">
      <c r="A27" s="24" t="n"/>
      <c r="B27" s="16" t="n"/>
      <c r="C27" s="16" t="n"/>
      <c r="D27" s="33" t="inlineStr">
        <is>
          <t>技术顾问评审确认</t>
        </is>
      </c>
      <c r="E27" s="33" t="n"/>
      <c r="F27" s="23" t="n"/>
      <c r="G27" s="34" t="n"/>
      <c r="H27" s="34" t="n"/>
      <c r="I27" s="34" t="n"/>
      <c r="J27" s="45">
        <f>J25</f>
        <v/>
      </c>
      <c r="K27" s="45">
        <f>_xlfn.WORKDAY.INTL(J27,L27-1,1,法定节假日!$B$2:$B$67)</f>
        <v/>
      </c>
      <c r="L27" s="34" t="n">
        <v>1</v>
      </c>
      <c r="M27" s="34" t="n"/>
      <c r="N27" s="45" t="n"/>
      <c r="O27" s="45" t="n"/>
      <c r="P27" s="34">
        <f>NETWORKDAYS(N27,O27)</f>
        <v/>
      </c>
      <c r="Q27" s="23" t="n"/>
      <c r="R27" s="23" t="n"/>
      <c r="S27" s="23" t="inlineStr">
        <is>
          <t>未完成</t>
        </is>
      </c>
      <c r="T27" s="23" t="n"/>
      <c r="U27" s="23" t="n"/>
    </row>
    <row r="28" ht="15" customHeight="1" s="2">
      <c r="A28" s="24" t="n"/>
      <c r="B28" s="16" t="n"/>
      <c r="C28" s="16" t="n"/>
      <c r="D28" s="33" t="inlineStr">
        <is>
          <t>关键用户评审确认</t>
        </is>
      </c>
      <c r="E28" s="23" t="n"/>
      <c r="F28" s="23" t="n"/>
      <c r="G28" s="34" t="inlineStr">
        <is>
          <t>√</t>
        </is>
      </c>
      <c r="H28" s="34" t="inlineStr">
        <is>
          <t>√</t>
        </is>
      </c>
      <c r="I28" s="34" t="inlineStr">
        <is>
          <t>√</t>
        </is>
      </c>
      <c r="J28" s="45">
        <f>J25</f>
        <v/>
      </c>
      <c r="K28" s="45">
        <f>_xlfn.WORKDAY.INTL(J28,L28-1,1,法定节假日!$B$2:$B$67)</f>
        <v/>
      </c>
      <c r="L28" s="34" t="n">
        <v>1</v>
      </c>
      <c r="M28" s="34" t="n"/>
      <c r="N28" s="45" t="n"/>
      <c r="O28" s="45" t="n"/>
      <c r="P28" s="34">
        <f>NETWORKDAYS(N28,O28)</f>
        <v/>
      </c>
      <c r="Q28" s="23" t="n"/>
      <c r="R28" s="23" t="n"/>
      <c r="S28" s="23" t="inlineStr">
        <is>
          <t>未完成</t>
        </is>
      </c>
      <c r="T28" s="23" t="n"/>
      <c r="U28" s="23" t="n"/>
    </row>
    <row r="29" ht="15" customHeight="1" s="2">
      <c r="A29" s="24" t="n"/>
      <c r="B29" s="16" t="n"/>
      <c r="C29" s="16" t="n"/>
      <c r="D29" s="33" t="inlineStr">
        <is>
          <t>谷斗内部评审确认</t>
        </is>
      </c>
      <c r="E29" s="33" t="n"/>
      <c r="F29" s="23" t="n"/>
      <c r="G29" s="34" t="n"/>
      <c r="H29" s="34" t="inlineStr">
        <is>
          <t>√</t>
        </is>
      </c>
      <c r="I29" s="34" t="n"/>
      <c r="J29" s="45">
        <f>J25</f>
        <v/>
      </c>
      <c r="K29" s="45">
        <f>_xlfn.WORKDAY.INTL(J29,L29-1,1,法定节假日!$B$2:$B$67)</f>
        <v/>
      </c>
      <c r="L29" s="34" t="n">
        <v>1</v>
      </c>
      <c r="M29" s="34" t="n"/>
      <c r="N29" s="45" t="n"/>
      <c r="O29" s="45" t="n"/>
      <c r="P29" s="34">
        <f>NETWORKDAYS(N29,O29)</f>
        <v/>
      </c>
      <c r="Q29" s="23" t="n"/>
      <c r="R29" s="23" t="n"/>
      <c r="S29" s="23" t="inlineStr">
        <is>
          <t>未完成</t>
        </is>
      </c>
      <c r="T29" s="23" t="n"/>
      <c r="U29" s="23" t="n"/>
    </row>
    <row r="30">
      <c r="A30" s="17" t="n">
        <v>2.2</v>
      </c>
      <c r="B30" s="17" t="n"/>
      <c r="C30" s="17" t="inlineStr">
        <is>
          <t>系统蓝图设计</t>
        </is>
      </c>
      <c r="D30" s="17" t="n"/>
      <c r="E30" s="17" t="n"/>
      <c r="F30" s="19" t="n"/>
      <c r="G30" s="20" t="n"/>
      <c r="H30" s="20" t="n"/>
      <c r="I30" s="19" t="n"/>
      <c r="J30" s="42">
        <f>主计划!N23</f>
        <v/>
      </c>
      <c r="K30" s="42">
        <f>_xlfn.WORKDAY.INTL(J30,L30,1,法定节假日!$B$2:$B$67)</f>
        <v/>
      </c>
      <c r="L30" s="20">
        <f>主计划!P23</f>
        <v/>
      </c>
      <c r="M30" s="20" t="n"/>
      <c r="N30" s="42">
        <f>MIN(N31:N51)</f>
        <v/>
      </c>
      <c r="O30" s="42">
        <f>MAX(O31:O51)</f>
        <v/>
      </c>
      <c r="P30" s="20">
        <f>NETWORKDAYS(N30,O30)</f>
        <v/>
      </c>
      <c r="Q30" s="19" t="inlineStr">
        <is>
          <t>陈本鸿</t>
        </is>
      </c>
      <c r="R30" s="19" t="n"/>
      <c r="S30" s="19">
        <f>IF(COUNTIF(S31:S51,"未完成")=COUNTA(S31:S51),"未完成",IF(COUNTIF(S31:S51,"已完成")=COUNTA(S31:S51),"已完成","进行中"))</f>
        <v/>
      </c>
      <c r="T30" s="19" t="n"/>
      <c r="U30" s="23" t="n"/>
    </row>
    <row r="31">
      <c r="A31" s="24" t="n"/>
      <c r="B31" s="26" t="inlineStr">
        <is>
          <t>2.2.1</t>
        </is>
      </c>
      <c r="C31" s="26" t="inlineStr">
        <is>
          <t>需求确认与应答</t>
        </is>
      </c>
      <c r="D31" s="26" t="n"/>
      <c r="E31" s="26" t="n"/>
      <c r="F31" s="28" t="n"/>
      <c r="G31" s="29" t="n"/>
      <c r="H31" s="29" t="n"/>
      <c r="I31" s="28" t="n"/>
      <c r="J31" s="44">
        <f>主计划!N24</f>
        <v/>
      </c>
      <c r="K31" s="44">
        <f>主计划!O24</f>
        <v/>
      </c>
      <c r="L31" s="29">
        <f>主计划!P24</f>
        <v/>
      </c>
      <c r="M31" s="29" t="n"/>
      <c r="N31" s="44">
        <f>MIN(N32:N33)</f>
        <v/>
      </c>
      <c r="O31" s="44">
        <f>MAX(O32:O33)</f>
        <v/>
      </c>
      <c r="P31" s="29">
        <f>NETWORKDAYS(N31,O31)</f>
        <v/>
      </c>
      <c r="Q31" s="28" t="inlineStr">
        <is>
          <t>陈本鸿</t>
        </is>
      </c>
      <c r="R31" s="28" t="n"/>
      <c r="S31" s="28">
        <f>IF(COUNTIF(S32:S33,"未完成")=COUNTA(S32:S33),"未完成",IF(COUNTIF(S32:S33,"已完成")=COUNTA(S32:S33),"已完成","进行中"))</f>
        <v/>
      </c>
      <c r="T31" s="28" t="n"/>
      <c r="U31" s="23" t="n"/>
    </row>
    <row r="32">
      <c r="A32" s="24" t="n"/>
      <c r="B32" s="36" t="n"/>
      <c r="C32" s="36" t="n"/>
      <c r="D32" s="23" t="inlineStr">
        <is>
          <t>需求清单编写与确认</t>
        </is>
      </c>
      <c r="E32" s="23" t="n"/>
      <c r="F32" s="23" t="n"/>
      <c r="G32" s="34" t="inlineStr">
        <is>
          <t>√</t>
        </is>
      </c>
      <c r="H32" s="34" t="inlineStr">
        <is>
          <t>√</t>
        </is>
      </c>
      <c r="I32" s="34" t="inlineStr">
        <is>
          <t>√</t>
        </is>
      </c>
      <c r="J32" s="45">
        <f>J31</f>
        <v/>
      </c>
      <c r="K32" s="45">
        <f>_xlfn.WORKDAY.INTL(J32,L32-1,1,法定节假日!$B$2:$B$67)</f>
        <v/>
      </c>
      <c r="L32" s="34" t="n">
        <v>11</v>
      </c>
      <c r="M32" s="34" t="n"/>
      <c r="N32" s="45" t="n"/>
      <c r="O32" s="45" t="n"/>
      <c r="P32" s="34">
        <f>NETWORKDAYS(N32,O32)</f>
        <v/>
      </c>
      <c r="Q32" s="23" t="n"/>
      <c r="R32" s="23" t="n"/>
      <c r="S32" s="23" t="inlineStr">
        <is>
          <t>未完成</t>
        </is>
      </c>
      <c r="T32" s="23" t="n"/>
      <c r="U32" s="23" t="n"/>
    </row>
    <row r="33" ht="15" customHeight="1" s="2">
      <c r="A33" s="24" t="n"/>
      <c r="B33" s="16" t="n"/>
      <c r="C33" s="16" t="n"/>
      <c r="D33" s="33" t="inlineStr">
        <is>
          <t>URS需求应答编写与确认</t>
        </is>
      </c>
      <c r="E33" s="33" t="n"/>
      <c r="F33" s="23" t="n"/>
      <c r="G33" s="34" t="inlineStr">
        <is>
          <t>√</t>
        </is>
      </c>
      <c r="H33" s="34" t="inlineStr">
        <is>
          <t>√</t>
        </is>
      </c>
      <c r="I33" s="34" t="inlineStr">
        <is>
          <t>√</t>
        </is>
      </c>
      <c r="J33" s="45">
        <f>_xlfn.WORKDAY.INTL(K32,1,1,法定节假日!$B$2:$B$67)</f>
        <v/>
      </c>
      <c r="K33" s="45">
        <f>_xlfn.WORKDAY.INTL(J33,L33-1,1,法定节假日!$B$2:$B$67)</f>
        <v/>
      </c>
      <c r="L33" s="34">
        <f>L31-SUM(L32:L32)</f>
        <v/>
      </c>
      <c r="M33" s="34" t="n"/>
      <c r="N33" s="45" t="n"/>
      <c r="O33" s="45" t="n"/>
      <c r="P33" s="34">
        <f>NETWORKDAYS(N33,O33)</f>
        <v/>
      </c>
      <c r="Q33" s="23" t="n"/>
      <c r="R33" s="23" t="n"/>
      <c r="S33" s="23" t="inlineStr">
        <is>
          <t>未完成</t>
        </is>
      </c>
      <c r="T33" s="23" t="n"/>
      <c r="U33" s="23" t="n"/>
    </row>
    <row r="34">
      <c r="A34" s="24" t="n"/>
      <c r="B34" s="26" t="inlineStr">
        <is>
          <t>2.2.2</t>
        </is>
      </c>
      <c r="C34" s="26" t="inlineStr">
        <is>
          <t>DP模块-蓝图设计报告制定</t>
        </is>
      </c>
      <c r="D34" s="26" t="n"/>
      <c r="E34" s="26" t="n"/>
      <c r="F34" s="28" t="n"/>
      <c r="G34" s="29" t="n"/>
      <c r="H34" s="29" t="n"/>
      <c r="I34" s="28" t="n"/>
      <c r="J34" s="44">
        <f>主计划!N25</f>
        <v/>
      </c>
      <c r="K34" s="44">
        <f>主计划!O25</f>
        <v/>
      </c>
      <c r="L34" s="29">
        <f>主计划!P25</f>
        <v/>
      </c>
      <c r="M34" s="29" t="n"/>
      <c r="N34" s="44">
        <f>MIN(N35:N38)</f>
        <v/>
      </c>
      <c r="O34" s="44">
        <f>MAX(O35:O38)</f>
        <v/>
      </c>
      <c r="P34" s="29">
        <f>NETWORKDAYS(N34,O34)</f>
        <v/>
      </c>
      <c r="Q34" s="28" t="inlineStr">
        <is>
          <t>文叶</t>
        </is>
      </c>
      <c r="R34" s="28" t="n"/>
      <c r="S34" s="28">
        <f>IF(COUNTIF(S35:S38,"未完成")=COUNTA(S35:S38),"未完成",IF(COUNTIF(S35:S38,"已完成")=COUNTA(S35:S38),"已完成","进行中"))</f>
        <v/>
      </c>
      <c r="T34" s="28" t="n"/>
      <c r="U34" s="23" t="n"/>
    </row>
    <row r="35">
      <c r="A35" s="24" t="n"/>
      <c r="B35" s="36" t="n"/>
      <c r="C35" s="36" t="n"/>
      <c r="D35" s="33" t="inlineStr">
        <is>
          <t>蓝图设计报告制定</t>
        </is>
      </c>
      <c r="E35" s="33" t="n"/>
      <c r="F35" s="23" t="n"/>
      <c r="G35" s="34" t="n"/>
      <c r="H35" s="34" t="n"/>
      <c r="I35" s="34" t="n"/>
      <c r="J35" s="45">
        <f>J34</f>
        <v/>
      </c>
      <c r="K35" s="45">
        <f>_xlfn.WORKDAY.INTL(J35,L35-1,1,法定节假日!$B$2:$B$67)</f>
        <v/>
      </c>
      <c r="L35" s="34" t="n">
        <v>9</v>
      </c>
      <c r="M35" s="34" t="n"/>
      <c r="N35" s="45" t="n"/>
      <c r="O35" s="45" t="n"/>
      <c r="P35" s="34">
        <f>NETWORKDAYS(N35,O35)</f>
        <v/>
      </c>
      <c r="Q35" s="23" t="n"/>
      <c r="R35" s="23" t="n"/>
      <c r="S35" s="23" t="inlineStr">
        <is>
          <t>未完成</t>
        </is>
      </c>
      <c r="T35" s="23" t="n"/>
      <c r="U35" s="23" t="n"/>
    </row>
    <row r="36" ht="15" customHeight="1" s="2">
      <c r="A36" s="24" t="n"/>
      <c r="B36" s="16" t="n"/>
      <c r="C36" s="16" t="n"/>
      <c r="D36" s="33" t="inlineStr">
        <is>
          <t>技术顾问同行评审</t>
        </is>
      </c>
      <c r="E36" s="33" t="n"/>
      <c r="F36" s="23" t="n"/>
      <c r="G36" s="34" t="n"/>
      <c r="H36" s="34" t="n"/>
      <c r="I36" s="34" t="n"/>
      <c r="J36" s="45">
        <f>_xlfn.WORKDAY.INTL(K35,1,1,法定节假日!$B$2:$B$67)</f>
        <v/>
      </c>
      <c r="K36" s="45">
        <f>_xlfn.WORKDAY.INTL(J36,L36-1,1,法定节假日!$B$2:$B$67)</f>
        <v/>
      </c>
      <c r="L36" s="34" t="n">
        <v>4</v>
      </c>
      <c r="M36" s="34" t="n"/>
      <c r="N36" s="45" t="n"/>
      <c r="O36" s="45" t="n"/>
      <c r="P36" s="34">
        <f>NETWORKDAYS(N36,O36)</f>
        <v/>
      </c>
      <c r="Q36" s="23" t="n"/>
      <c r="R36" s="23" t="n"/>
      <c r="S36" s="23" t="inlineStr">
        <is>
          <t>未完成</t>
        </is>
      </c>
      <c r="T36" s="23" t="n"/>
      <c r="U36" s="23" t="n"/>
    </row>
    <row r="37" ht="15" customHeight="1" s="2">
      <c r="A37" s="24" t="n"/>
      <c r="B37" s="16" t="n"/>
      <c r="C37" s="16" t="n"/>
      <c r="D37" s="33" t="inlineStr">
        <is>
          <t>关键用户同行评审</t>
        </is>
      </c>
      <c r="E37" s="33" t="n"/>
      <c r="F37" s="23" t="n"/>
      <c r="G37" s="34" t="n"/>
      <c r="H37" s="34" t="n"/>
      <c r="I37" s="34" t="n"/>
      <c r="J37" s="45">
        <f>_xlfn.WORKDAY.INTL(K36,1,1,法定节假日!$B$2:$B$67)</f>
        <v/>
      </c>
      <c r="K37" s="45">
        <f>_xlfn.WORKDAY.INTL(J37,L37-1,1,法定节假日!$B$2:$B$67)</f>
        <v/>
      </c>
      <c r="L37" s="34" t="n">
        <v>4</v>
      </c>
      <c r="M37" s="34" t="n"/>
      <c r="N37" s="45" t="n"/>
      <c r="O37" s="45" t="n"/>
      <c r="P37" s="34">
        <f>NETWORKDAYS(N37,O37)</f>
        <v/>
      </c>
      <c r="Q37" s="23" t="n"/>
      <c r="R37" s="23" t="n"/>
      <c r="S37" s="23" t="inlineStr">
        <is>
          <t>未完成</t>
        </is>
      </c>
      <c r="T37" s="23" t="n"/>
      <c r="U37" s="23" t="n"/>
    </row>
    <row r="38" ht="15" customHeight="1" s="2">
      <c r="A38" s="24" t="n"/>
      <c r="B38" s="16" t="n"/>
      <c r="C38" s="16" t="n"/>
      <c r="D38" s="33" t="inlineStr">
        <is>
          <t>谷斗内部同行评审</t>
        </is>
      </c>
      <c r="E38" s="33" t="n"/>
      <c r="F38" s="23" t="n"/>
      <c r="G38" s="34" t="n"/>
      <c r="H38" s="34" t="n"/>
      <c r="I38" s="34" t="n"/>
      <c r="J38" s="45">
        <f>_xlfn.WORKDAY.INTL(K37,1,1,法定节假日!$B$2:$B$67)</f>
        <v/>
      </c>
      <c r="K38" s="45">
        <f>_xlfn.WORKDAY.INTL(J38,L38-1,1,法定节假日!$B$2:$B$67)</f>
        <v/>
      </c>
      <c r="L38" s="34">
        <f>L34-SUM(L35:L37)</f>
        <v/>
      </c>
      <c r="M38" s="34" t="n"/>
      <c r="N38" s="45" t="n"/>
      <c r="O38" s="45" t="n"/>
      <c r="P38" s="34">
        <f>NETWORKDAYS(N38,O38)</f>
        <v/>
      </c>
      <c r="Q38" s="23" t="n"/>
      <c r="R38" s="23" t="n"/>
      <c r="S38" s="23" t="inlineStr">
        <is>
          <t>未完成</t>
        </is>
      </c>
      <c r="T38" s="23" t="n"/>
      <c r="U38" s="23" t="n"/>
    </row>
    <row r="39">
      <c r="A39" s="24" t="n"/>
      <c r="B39" s="26" t="inlineStr">
        <is>
          <t>2.2.3</t>
        </is>
      </c>
      <c r="C39" s="26" t="inlineStr">
        <is>
          <t>APS模块-蓝图设计报告制定</t>
        </is>
      </c>
      <c r="D39" s="26" t="n"/>
      <c r="E39" s="26" t="n"/>
      <c r="F39" s="28" t="n"/>
      <c r="G39" s="29" t="n"/>
      <c r="H39" s="29" t="n"/>
      <c r="I39" s="28" t="n"/>
      <c r="J39" s="44">
        <f>主计划!N26</f>
        <v/>
      </c>
      <c r="K39" s="44">
        <f>主计划!O26</f>
        <v/>
      </c>
      <c r="L39" s="29">
        <f>主计划!P26</f>
        <v/>
      </c>
      <c r="M39" s="29" t="n"/>
      <c r="N39" s="44">
        <f>MIN(N40:N43)</f>
        <v/>
      </c>
      <c r="O39" s="44">
        <f>MAX(O40:O43)</f>
        <v/>
      </c>
      <c r="P39" s="29">
        <f>NETWORKDAYS(N39,O39)</f>
        <v/>
      </c>
      <c r="Q39" s="28" t="inlineStr">
        <is>
          <t>AP王旭东、AS林寒欣</t>
        </is>
      </c>
      <c r="R39" s="28" t="n"/>
      <c r="S39" s="28">
        <f>IF(COUNTIF(S40:S43,"未完成")=COUNTA(S40:S43),"未完成",IF(COUNTIF(S40:S43,"已完成")=COUNTA(S40:S43),"已完成","进行中"))</f>
        <v/>
      </c>
      <c r="T39" s="28" t="n"/>
      <c r="U39" s="23" t="n"/>
    </row>
    <row r="40">
      <c r="A40" s="24" t="n"/>
      <c r="B40" s="36" t="n"/>
      <c r="C40" s="36" t="n"/>
      <c r="D40" s="33" t="inlineStr">
        <is>
          <t>蓝图设计报告制定</t>
        </is>
      </c>
      <c r="E40" s="33" t="n"/>
      <c r="F40" s="23" t="n"/>
      <c r="G40" s="34" t="n"/>
      <c r="H40" s="34" t="n"/>
      <c r="I40" s="34" t="n"/>
      <c r="J40" s="45">
        <f>J39</f>
        <v/>
      </c>
      <c r="K40" s="45">
        <f>_xlfn.WORKDAY.INTL(J40,L40-1,1,法定节假日!$B$2:$B$67)</f>
        <v/>
      </c>
      <c r="L40" s="34" t="n">
        <v>18</v>
      </c>
      <c r="M40" s="34" t="n"/>
      <c r="N40" s="45" t="n"/>
      <c r="O40" s="45" t="n"/>
      <c r="P40" s="34">
        <f>NETWORKDAYS(N40,O40)</f>
        <v/>
      </c>
      <c r="Q40" s="23" t="n"/>
      <c r="R40" s="23" t="n"/>
      <c r="S40" s="23" t="inlineStr">
        <is>
          <t>未完成</t>
        </is>
      </c>
      <c r="T40" s="23" t="n"/>
      <c r="U40" s="23" t="n"/>
    </row>
    <row r="41" ht="15" customHeight="1" s="2">
      <c r="A41" s="24" t="n"/>
      <c r="B41" s="16" t="n"/>
      <c r="C41" s="16" t="n"/>
      <c r="D41" s="33" t="inlineStr">
        <is>
          <t>技术顾问同行评审</t>
        </is>
      </c>
      <c r="E41" s="33" t="n"/>
      <c r="F41" s="23" t="n"/>
      <c r="G41" s="34" t="n"/>
      <c r="H41" s="34" t="n"/>
      <c r="I41" s="23" t="n"/>
      <c r="J41" s="45">
        <f>_xlfn.WORKDAY.INTL(K40,1,1,法定节假日!$B$2:$B$67)</f>
        <v/>
      </c>
      <c r="K41" s="45">
        <f>_xlfn.WORKDAY.INTL(J41,L41-1,1,法定节假日!$B$2:$B$67)</f>
        <v/>
      </c>
      <c r="L41" s="34" t="n">
        <v>7</v>
      </c>
      <c r="M41" s="34" t="n"/>
      <c r="N41" s="45" t="n"/>
      <c r="O41" s="45" t="n"/>
      <c r="P41" s="34">
        <f>NETWORKDAYS(N41,O41)</f>
        <v/>
      </c>
      <c r="Q41" s="23" t="n"/>
      <c r="R41" s="23" t="n"/>
      <c r="S41" s="23" t="inlineStr">
        <is>
          <t>未完成</t>
        </is>
      </c>
      <c r="T41" s="23" t="n"/>
      <c r="U41" s="23" t="n"/>
    </row>
    <row r="42" ht="15" customHeight="1" s="2">
      <c r="A42" s="24" t="n"/>
      <c r="B42" s="16" t="n"/>
      <c r="C42" s="16" t="n"/>
      <c r="D42" s="33" t="inlineStr">
        <is>
          <t>关键用户同行评审</t>
        </is>
      </c>
      <c r="E42" s="33" t="n"/>
      <c r="F42" s="23" t="n"/>
      <c r="G42" s="34" t="n"/>
      <c r="H42" s="34" t="n"/>
      <c r="I42" s="23" t="n"/>
      <c r="J42" s="45">
        <f>_xlfn.WORKDAY.INTL(K41,1,1,法定节假日!$B$2:$B$67)</f>
        <v/>
      </c>
      <c r="K42" s="45">
        <f>_xlfn.WORKDAY.INTL(J42,L42-1,1,法定节假日!$B$2:$B$67)</f>
        <v/>
      </c>
      <c r="L42" s="34" t="n">
        <v>7</v>
      </c>
      <c r="M42" s="34" t="n"/>
      <c r="N42" s="45" t="n"/>
      <c r="O42" s="45" t="n"/>
      <c r="P42" s="34">
        <f>NETWORKDAYS(N42,O42)</f>
        <v/>
      </c>
      <c r="Q42" s="23" t="n"/>
      <c r="R42" s="23" t="n"/>
      <c r="S42" s="23" t="inlineStr">
        <is>
          <t>未完成</t>
        </is>
      </c>
      <c r="T42" s="23" t="n"/>
      <c r="U42" s="23" t="n"/>
    </row>
    <row r="43" ht="15" customHeight="1" s="2">
      <c r="A43" s="24" t="n"/>
      <c r="B43" s="16" t="n"/>
      <c r="C43" s="16" t="n"/>
      <c r="D43" s="33" t="inlineStr">
        <is>
          <t>谷斗内部同行评审</t>
        </is>
      </c>
      <c r="E43" s="33" t="n"/>
      <c r="F43" s="23" t="n"/>
      <c r="G43" s="34" t="n"/>
      <c r="H43" s="34" t="n"/>
      <c r="I43" s="23" t="n"/>
      <c r="J43" s="45">
        <f>_xlfn.WORKDAY.INTL(K42,1,1,法定节假日!$B$2:$B$67)</f>
        <v/>
      </c>
      <c r="K43" s="45">
        <f>_xlfn.WORKDAY.INTL(J43,L43-1,1,法定节假日!$B$2:$B$67)</f>
        <v/>
      </c>
      <c r="L43" s="34">
        <f>L39-SUM(L40:L42)</f>
        <v/>
      </c>
      <c r="M43" s="34" t="n"/>
      <c r="N43" s="45" t="n"/>
      <c r="O43" s="45" t="n"/>
      <c r="P43" s="34">
        <f>NETWORKDAYS(N43,O43)</f>
        <v/>
      </c>
      <c r="Q43" s="23" t="n"/>
      <c r="R43" s="23" t="n"/>
      <c r="S43" s="23" t="inlineStr">
        <is>
          <t>未完成</t>
        </is>
      </c>
      <c r="T43" s="23" t="n"/>
      <c r="U43" s="23" t="n"/>
    </row>
    <row r="44">
      <c r="A44" s="24" t="n"/>
      <c r="B44" s="26" t="inlineStr">
        <is>
          <t>2.2.4</t>
        </is>
      </c>
      <c r="C44" s="26" t="inlineStr">
        <is>
          <t>IP模块-蓝图设计报告制定</t>
        </is>
      </c>
      <c r="D44" s="26" t="n"/>
      <c r="E44" s="26" t="n"/>
      <c r="F44" s="28" t="n"/>
      <c r="G44" s="29" t="n"/>
      <c r="H44" s="29" t="n"/>
      <c r="I44" s="28" t="n"/>
      <c r="J44" s="44">
        <f>主计划!N27</f>
        <v/>
      </c>
      <c r="K44" s="44">
        <f>主计划!O27</f>
        <v/>
      </c>
      <c r="L44" s="29">
        <f>主计划!P27</f>
        <v/>
      </c>
      <c r="M44" s="29" t="n"/>
      <c r="N44" s="44">
        <f>MIN(N45:N48)</f>
        <v/>
      </c>
      <c r="O44" s="44">
        <f>MAX(O45:O48)</f>
        <v/>
      </c>
      <c r="P44" s="29">
        <f>NETWORKDAYS(N44,O44)</f>
        <v/>
      </c>
      <c r="Q44" s="28" t="inlineStr">
        <is>
          <t>宋沛霖</t>
        </is>
      </c>
      <c r="R44" s="28" t="n"/>
      <c r="S44" s="28">
        <f>IF(COUNTIF(S45:S48,"未完成")=COUNTA(S45:S48),"未完成",IF(COUNTIF(S45:S48,"已完成")=COUNTA(S45:S48),"已完成","进行中"))</f>
        <v/>
      </c>
      <c r="T44" s="28" t="n"/>
      <c r="U44" s="23" t="n"/>
    </row>
    <row r="45">
      <c r="A45" s="24" t="n"/>
      <c r="B45" s="36" t="n"/>
      <c r="C45" s="36" t="n"/>
      <c r="D45" s="33" t="inlineStr">
        <is>
          <t>蓝图设计报告制定</t>
        </is>
      </c>
      <c r="E45" s="33" t="n"/>
      <c r="F45" s="23" t="n"/>
      <c r="G45" s="34" t="n"/>
      <c r="H45" s="34" t="n"/>
      <c r="I45" s="23" t="n"/>
      <c r="J45" s="45">
        <f>J44</f>
        <v/>
      </c>
      <c r="K45" s="45">
        <f>_xlfn.WORKDAY.INTL(J45,L45-1,1,法定节假日!$B$2:$B$67)</f>
        <v/>
      </c>
      <c r="L45" s="34" t="n">
        <v>9</v>
      </c>
      <c r="M45" s="34" t="n"/>
      <c r="N45" s="45" t="n"/>
      <c r="O45" s="45" t="n"/>
      <c r="P45" s="34">
        <f>NETWORKDAYS(N45,O45)</f>
        <v/>
      </c>
      <c r="Q45" s="23" t="n"/>
      <c r="R45" s="23" t="n"/>
      <c r="S45" s="23" t="inlineStr">
        <is>
          <t>未完成</t>
        </is>
      </c>
      <c r="T45" s="23" t="n"/>
      <c r="U45" s="23" t="n"/>
    </row>
    <row r="46" ht="15" customHeight="1" s="2">
      <c r="A46" s="24" t="n"/>
      <c r="B46" s="16" t="n"/>
      <c r="C46" s="16" t="n"/>
      <c r="D46" s="33" t="inlineStr">
        <is>
          <t>技术顾问同行评审</t>
        </is>
      </c>
      <c r="E46" s="33" t="n"/>
      <c r="F46" s="23" t="n"/>
      <c r="G46" s="34" t="n"/>
      <c r="H46" s="34" t="n"/>
      <c r="I46" s="34" t="n"/>
      <c r="J46" s="45">
        <f>_xlfn.WORKDAY.INTL(K45,1,1,法定节假日!$B$2:$B$67)</f>
        <v/>
      </c>
      <c r="K46" s="45">
        <f>_xlfn.WORKDAY.INTL(J46,L46-1,1,法定节假日!$B$2:$B$67)</f>
        <v/>
      </c>
      <c r="L46" s="34" t="n">
        <v>4</v>
      </c>
      <c r="M46" s="34" t="n"/>
      <c r="N46" s="45" t="n"/>
      <c r="O46" s="45" t="n"/>
      <c r="P46" s="34">
        <f>NETWORKDAYS(N46,O46)</f>
        <v/>
      </c>
      <c r="Q46" s="23" t="n"/>
      <c r="R46" s="23" t="n"/>
      <c r="S46" s="23" t="inlineStr">
        <is>
          <t>未完成</t>
        </is>
      </c>
      <c r="T46" s="23" t="n"/>
      <c r="U46" s="23" t="n"/>
    </row>
    <row r="47" ht="15" customHeight="1" s="2">
      <c r="A47" s="24" t="n"/>
      <c r="B47" s="16" t="n"/>
      <c r="C47" s="16" t="n"/>
      <c r="D47" s="33" t="inlineStr">
        <is>
          <t>关键用户同行评审</t>
        </is>
      </c>
      <c r="E47" s="33" t="n"/>
      <c r="F47" s="23" t="n"/>
      <c r="G47" s="34" t="n"/>
      <c r="H47" s="34" t="inlineStr">
        <is>
          <t>√</t>
        </is>
      </c>
      <c r="I47" s="23" t="n"/>
      <c r="J47" s="45">
        <f>_xlfn.WORKDAY.INTL(K46,1,1,法定节假日!$B$2:$B$67)</f>
        <v/>
      </c>
      <c r="K47" s="45">
        <f>_xlfn.WORKDAY.INTL(J47,L47-1,1,法定节假日!$B$2:$B$67)</f>
        <v/>
      </c>
      <c r="L47" s="34" t="n">
        <v>4</v>
      </c>
      <c r="M47" s="34" t="n"/>
      <c r="N47" s="45" t="n"/>
      <c r="O47" s="45" t="n"/>
      <c r="P47" s="34">
        <f>NETWORKDAYS(N47,O47)</f>
        <v/>
      </c>
      <c r="Q47" s="23" t="n"/>
      <c r="R47" s="23" t="n"/>
      <c r="S47" s="23" t="inlineStr">
        <is>
          <t>未完成</t>
        </is>
      </c>
      <c r="T47" s="23" t="n"/>
      <c r="U47" s="23" t="n"/>
    </row>
    <row r="48" ht="15" customHeight="1" s="2">
      <c r="A48" s="24" t="n"/>
      <c r="B48" s="16" t="n"/>
      <c r="C48" s="16" t="n"/>
      <c r="D48" s="33" t="inlineStr">
        <is>
          <t>谷斗内部同行评审</t>
        </is>
      </c>
      <c r="E48" s="33" t="n"/>
      <c r="F48" s="23" t="n"/>
      <c r="G48" s="34" t="inlineStr">
        <is>
          <t>√</t>
        </is>
      </c>
      <c r="H48" s="34" t="n"/>
      <c r="I48" s="34" t="inlineStr">
        <is>
          <t>√</t>
        </is>
      </c>
      <c r="J48" s="45">
        <f>_xlfn.WORKDAY.INTL(K47,1,1,法定节假日!$B$2:$B$67)</f>
        <v/>
      </c>
      <c r="K48" s="45">
        <f>_xlfn.WORKDAY.INTL(J48,L48-1,1,法定节假日!$B$2:$B$67)</f>
        <v/>
      </c>
      <c r="L48" s="34">
        <f>L44-SUM(L45:L47)</f>
        <v/>
      </c>
      <c r="M48" s="34" t="n"/>
      <c r="N48" s="45" t="n"/>
      <c r="O48" s="45" t="n"/>
      <c r="P48" s="34">
        <f>NETWORKDAYS(N48,O48)</f>
        <v/>
      </c>
      <c r="Q48" s="23" t="n"/>
      <c r="R48" s="23" t="n"/>
      <c r="S48" s="23" t="inlineStr">
        <is>
          <t>未完成</t>
        </is>
      </c>
      <c r="T48" s="23" t="n"/>
      <c r="U48" s="23" t="n"/>
    </row>
    <row r="49">
      <c r="A49" s="24" t="n"/>
      <c r="B49" s="26" t="inlineStr">
        <is>
          <t>2.2.5</t>
        </is>
      </c>
      <c r="C49" s="26" t="inlineStr">
        <is>
          <t>蓝图评审与签字确认</t>
        </is>
      </c>
      <c r="D49" s="26" t="n"/>
      <c r="E49" s="26" t="n"/>
      <c r="F49" s="28" t="n"/>
      <c r="G49" s="29" t="n"/>
      <c r="H49" s="29" t="n"/>
      <c r="I49" s="28" t="n"/>
      <c r="J49" s="44">
        <f>主计划!N28</f>
        <v/>
      </c>
      <c r="K49" s="44">
        <f>主计划!O28</f>
        <v/>
      </c>
      <c r="L49" s="29">
        <f>主计划!P28</f>
        <v/>
      </c>
      <c r="M49" s="29" t="n"/>
      <c r="N49" s="44">
        <f>MIN(N50:N51)</f>
        <v/>
      </c>
      <c r="O49" s="44">
        <f>MAX(O50:O51)</f>
        <v/>
      </c>
      <c r="P49" s="29">
        <f>NETWORKDAYS(N49,O49)</f>
        <v/>
      </c>
      <c r="Q49" s="28" t="inlineStr">
        <is>
          <t>周年根</t>
        </is>
      </c>
      <c r="R49" s="28" t="n"/>
      <c r="S49" s="28">
        <f>IF(COUNTIF(S50:S51,"未完成")=COUNTA(S50:S51),"未完成",IF(COUNTIF(S50:S51,"已完成")=COUNTA(S50:S51),"已完成","进行中"))</f>
        <v/>
      </c>
      <c r="T49" s="28" t="n"/>
      <c r="U49" s="23" t="n"/>
    </row>
    <row r="50">
      <c r="A50" s="24" t="n"/>
      <c r="B50" s="36" t="n"/>
      <c r="C50" s="36" t="n"/>
      <c r="D50" s="33" t="inlineStr">
        <is>
          <t>正式评审汇报</t>
        </is>
      </c>
      <c r="E50" s="33" t="n"/>
      <c r="F50" s="23" t="n"/>
      <c r="G50" s="34" t="n"/>
      <c r="H50" s="34" t="inlineStr">
        <is>
          <t>√</t>
        </is>
      </c>
      <c r="I50" s="23" t="n"/>
      <c r="J50" s="45">
        <f>J49</f>
        <v/>
      </c>
      <c r="K50" s="45">
        <f>_xlfn.WORKDAY.INTL(J50,L50-1,1,法定节假日!$B$2:$B$67)</f>
        <v/>
      </c>
      <c r="L50" s="34" t="n">
        <v>1</v>
      </c>
      <c r="M50" s="34" t="n"/>
      <c r="N50" s="45" t="n"/>
      <c r="O50" s="45" t="n"/>
      <c r="P50" s="34">
        <f>NETWORKDAYS(N50,O50)</f>
        <v/>
      </c>
      <c r="Q50" s="23" t="n"/>
      <c r="R50" s="23" t="n"/>
      <c r="S50" s="23" t="inlineStr">
        <is>
          <t>未完成</t>
        </is>
      </c>
      <c r="T50" s="23" t="n"/>
      <c r="U50" s="23" t="n"/>
    </row>
    <row r="51" ht="15" customHeight="1" s="2">
      <c r="A51" s="24" t="n"/>
      <c r="B51" s="16" t="n"/>
      <c r="C51" s="16" t="n"/>
      <c r="D51" s="33" t="inlineStr">
        <is>
          <t>评审完成签字</t>
        </is>
      </c>
      <c r="E51" s="23" t="n"/>
      <c r="F51" s="23" t="n"/>
      <c r="G51" s="23" t="n"/>
      <c r="H51" s="34" t="n"/>
      <c r="I51" s="34" t="inlineStr">
        <is>
          <t>√</t>
        </is>
      </c>
      <c r="J51" s="45">
        <f>J49</f>
        <v/>
      </c>
      <c r="K51" s="45">
        <f>_xlfn.WORKDAY.INTL(J51,L51-1,1,法定节假日!$B$2:$B$67)</f>
        <v/>
      </c>
      <c r="L51" s="34" t="n">
        <v>1</v>
      </c>
      <c r="M51" s="34" t="n"/>
      <c r="N51" s="45" t="n"/>
      <c r="O51" s="45" t="n"/>
      <c r="P51" s="34">
        <f>NETWORKDAYS(N51,O51)</f>
        <v/>
      </c>
      <c r="Q51" s="23" t="n"/>
      <c r="R51" s="23" t="n"/>
      <c r="S51" s="23" t="inlineStr">
        <is>
          <t>未完成</t>
        </is>
      </c>
      <c r="T51" s="23" t="n"/>
      <c r="U51" s="23" t="n"/>
    </row>
    <row r="52">
      <c r="A52" s="17" t="n">
        <v>2.3</v>
      </c>
      <c r="B52" s="17" t="n"/>
      <c r="C52" s="17" t="inlineStr">
        <is>
          <t>系统详细设计</t>
        </is>
      </c>
      <c r="D52" s="17" t="n"/>
      <c r="E52" s="17" t="n"/>
      <c r="F52" s="19" t="n"/>
      <c r="G52" s="20" t="n"/>
      <c r="H52" s="20" t="n"/>
      <c r="I52" s="19" t="n"/>
      <c r="J52" s="42">
        <f>主计划!N29</f>
        <v/>
      </c>
      <c r="K52" s="42">
        <f>主计划!O29</f>
        <v/>
      </c>
      <c r="L52" s="20">
        <f>主计划!P29</f>
        <v/>
      </c>
      <c r="M52" s="20" t="n"/>
      <c r="N52" s="42">
        <f>MIN(N53:N70)</f>
        <v/>
      </c>
      <c r="O52" s="42">
        <f>MAX(O53:O70)</f>
        <v/>
      </c>
      <c r="P52" s="20">
        <f>NETWORKDAYS(N52,O52)</f>
        <v/>
      </c>
      <c r="Q52" s="19" t="inlineStr">
        <is>
          <t>陈本鸿</t>
        </is>
      </c>
      <c r="R52" s="19" t="n"/>
      <c r="S52" s="19">
        <f>IF(COUNTIF(S53:S70,"未完成")=COUNTA(S53:S70),"未完成",IF(COUNTIF(S53:S70,"已完成")=COUNTA(S53:S70),"已完成","进行中"))</f>
        <v/>
      </c>
      <c r="T52" s="19" t="n"/>
      <c r="U52" s="23" t="n"/>
    </row>
    <row r="53">
      <c r="A53" s="24" t="n"/>
      <c r="B53" s="26" t="inlineStr">
        <is>
          <t>2.3.1</t>
        </is>
      </c>
      <c r="C53" s="26" t="inlineStr">
        <is>
          <t>DP模块-系统详设文档制定</t>
        </is>
      </c>
      <c r="D53" s="26" t="n"/>
      <c r="E53" s="26" t="n"/>
      <c r="F53" s="28" t="n"/>
      <c r="G53" s="29" t="n"/>
      <c r="H53" s="29" t="n"/>
      <c r="I53" s="28" t="n"/>
      <c r="J53" s="44">
        <f>主计划!N30</f>
        <v/>
      </c>
      <c r="K53" s="44">
        <f>主计划!O30</f>
        <v/>
      </c>
      <c r="L53" s="29">
        <f>主计划!P30</f>
        <v/>
      </c>
      <c r="M53" s="29" t="n"/>
      <c r="N53" s="44">
        <f>MIN(N54:N57)</f>
        <v/>
      </c>
      <c r="O53" s="44">
        <f>MAX(O54:O57)</f>
        <v/>
      </c>
      <c r="P53" s="29">
        <f>NETWORKDAYS(N53,O53)</f>
        <v/>
      </c>
      <c r="Q53" s="28" t="inlineStr">
        <is>
          <t>文叶</t>
        </is>
      </c>
      <c r="R53" s="28" t="n"/>
      <c r="S53" s="28">
        <f>IF(COUNTIF(S54:S57,"未完成")=COUNTA(S54:S57),"未完成",IF(COUNTIF(S54:S57,"已完成")=COUNTA(S54:S57),"已完成","进行中"))</f>
        <v/>
      </c>
      <c r="T53" s="28" t="n"/>
      <c r="U53" s="23" t="n"/>
    </row>
    <row r="54">
      <c r="A54" s="24" t="n"/>
      <c r="B54" s="36" t="n"/>
      <c r="C54" s="36" t="n"/>
      <c r="D54" s="33" t="inlineStr">
        <is>
          <t>系统详设文档制定</t>
        </is>
      </c>
      <c r="E54" s="33" t="n"/>
      <c r="F54" s="34" t="n"/>
      <c r="G54" s="34" t="n"/>
      <c r="H54" s="34" t="n"/>
      <c r="I54" s="34" t="n"/>
      <c r="J54" s="45">
        <f>J53</f>
        <v/>
      </c>
      <c r="K54" s="45">
        <f>_xlfn.WORKDAY.INTL(J54,L54-1,1,法定节假日!$B$2:$B$67)</f>
        <v/>
      </c>
      <c r="L54" s="34" t="n">
        <v>8</v>
      </c>
      <c r="M54" s="34" t="n"/>
      <c r="N54" s="45" t="n"/>
      <c r="O54" s="45" t="n"/>
      <c r="P54" s="34">
        <f>NETWORKDAYS(N54,O54)</f>
        <v/>
      </c>
      <c r="Q54" s="23" t="n"/>
      <c r="R54" s="23" t="n"/>
      <c r="S54" s="23" t="inlineStr">
        <is>
          <t>未完成</t>
        </is>
      </c>
      <c r="T54" s="23" t="n"/>
      <c r="U54" s="23" t="n"/>
    </row>
    <row r="55" ht="15" customHeight="1" s="2">
      <c r="A55" s="24" t="n"/>
      <c r="B55" s="16" t="n"/>
      <c r="C55" s="16" t="n"/>
      <c r="D55" s="33" t="inlineStr">
        <is>
          <t>技术顾问同行评审</t>
        </is>
      </c>
      <c r="E55" s="33" t="n"/>
      <c r="F55" s="34" t="n"/>
      <c r="G55" s="34" t="n"/>
      <c r="H55" s="34" t="n"/>
      <c r="I55" s="34" t="n"/>
      <c r="J55" s="45">
        <f>_xlfn.WORKDAY.INTL(K54,1,1,法定节假日!$B$2:$B$67)</f>
        <v/>
      </c>
      <c r="K55" s="45">
        <f>_xlfn.WORKDAY.INTL(J55,L55-1,1,法定节假日!$B$2:$B$67)</f>
        <v/>
      </c>
      <c r="L55" s="34" t="n">
        <v>4</v>
      </c>
      <c r="M55" s="34" t="n"/>
      <c r="N55" s="45" t="n"/>
      <c r="O55" s="45" t="n"/>
      <c r="P55" s="34">
        <f>NETWORKDAYS(N55,O55)</f>
        <v/>
      </c>
      <c r="Q55" s="23" t="n"/>
      <c r="R55" s="23" t="n"/>
      <c r="S55" s="23" t="inlineStr">
        <is>
          <t>未完成</t>
        </is>
      </c>
      <c r="T55" s="23" t="n"/>
      <c r="U55" s="23" t="n"/>
    </row>
    <row r="56" ht="15" customHeight="1" s="2">
      <c r="A56" s="24" t="n"/>
      <c r="B56" s="16" t="n"/>
      <c r="C56" s="16" t="n"/>
      <c r="D56" s="33" t="inlineStr">
        <is>
          <t>关键用户同行评审</t>
        </is>
      </c>
      <c r="E56" s="33" t="n"/>
      <c r="F56" s="34" t="n"/>
      <c r="G56" s="34" t="n"/>
      <c r="H56" s="34" t="n"/>
      <c r="I56" s="34" t="n"/>
      <c r="J56" s="45">
        <f>_xlfn.WORKDAY.INTL(K55,1,1,法定节假日!$B$2:$B$67)</f>
        <v/>
      </c>
      <c r="K56" s="45">
        <f>_xlfn.WORKDAY.INTL(J56,L56-1,1,法定节假日!$B$2:$B$67)</f>
        <v/>
      </c>
      <c r="L56" s="34" t="n">
        <v>4</v>
      </c>
      <c r="M56" s="34" t="n"/>
      <c r="N56" s="45" t="n"/>
      <c r="O56" s="45" t="n"/>
      <c r="P56" s="34">
        <f>NETWORKDAYS(N56,O56)</f>
        <v/>
      </c>
      <c r="Q56" s="23" t="n"/>
      <c r="R56" s="23" t="n"/>
      <c r="S56" s="23" t="inlineStr">
        <is>
          <t>未完成</t>
        </is>
      </c>
      <c r="T56" s="23" t="n"/>
      <c r="U56" s="23" t="n"/>
    </row>
    <row r="57" ht="15" customHeight="1" s="2">
      <c r="A57" s="24" t="n"/>
      <c r="B57" s="16" t="n"/>
      <c r="C57" s="16" t="n"/>
      <c r="D57" s="33" t="inlineStr">
        <is>
          <t>谷斗内部同行评审</t>
        </is>
      </c>
      <c r="E57" s="33" t="n"/>
      <c r="F57" s="34" t="n"/>
      <c r="G57" s="34" t="n"/>
      <c r="H57" s="34" t="n"/>
      <c r="I57" s="34" t="n"/>
      <c r="J57" s="45">
        <f>_xlfn.WORKDAY.INTL(K56,1,1,法定节假日!$B$2:$B$67)</f>
        <v/>
      </c>
      <c r="K57" s="45">
        <f>_xlfn.WORKDAY.INTL(J57,L57-1,1,法定节假日!$B$2:$B$67)</f>
        <v/>
      </c>
      <c r="L57" s="34">
        <f>L53-SUM(L54:L56)</f>
        <v/>
      </c>
      <c r="M57" s="34" t="n"/>
      <c r="N57" s="45" t="n"/>
      <c r="O57" s="45" t="n"/>
      <c r="P57" s="34">
        <f>NETWORKDAYS(N57,O57)</f>
        <v/>
      </c>
      <c r="Q57" s="23" t="n"/>
      <c r="R57" s="23" t="n"/>
      <c r="S57" s="23" t="inlineStr">
        <is>
          <t>未完成</t>
        </is>
      </c>
      <c r="T57" s="23" t="n"/>
      <c r="U57" s="23" t="n"/>
    </row>
    <row r="58">
      <c r="A58" s="24" t="n"/>
      <c r="B58" s="26" t="inlineStr">
        <is>
          <t>2.3.2</t>
        </is>
      </c>
      <c r="C58" s="26" t="inlineStr">
        <is>
          <t>APS模块-系统详设文档制定</t>
        </is>
      </c>
      <c r="D58" s="26" t="n"/>
      <c r="E58" s="26" t="n"/>
      <c r="F58" s="28" t="n"/>
      <c r="G58" s="29" t="n"/>
      <c r="H58" s="29" t="n"/>
      <c r="I58" s="28" t="n"/>
      <c r="J58" s="44">
        <f>主计划!N31</f>
        <v/>
      </c>
      <c r="K58" s="44">
        <f>主计划!O31</f>
        <v/>
      </c>
      <c r="L58" s="29">
        <f>主计划!P31</f>
        <v/>
      </c>
      <c r="M58" s="29" t="n"/>
      <c r="N58" s="44">
        <f>MIN(N59:N62)</f>
        <v/>
      </c>
      <c r="O58" s="44">
        <f>MAX(O59:O62)</f>
        <v/>
      </c>
      <c r="P58" s="29">
        <f>NETWORKDAYS(N58,O58)</f>
        <v/>
      </c>
      <c r="Q58" s="28" t="inlineStr">
        <is>
          <t>AP王旭东、AS林寒欣</t>
        </is>
      </c>
      <c r="R58" s="28" t="n"/>
      <c r="S58" s="28">
        <f>IF(COUNTIF(S59:S62,"未完成")=COUNTA(S59:S62),"未完成",IF(COUNTIF(S59:S62,"已完成")=COUNTA(S59:S62),"已完成","进行中"))</f>
        <v/>
      </c>
      <c r="T58" s="28" t="n"/>
      <c r="U58" s="23" t="n"/>
    </row>
    <row r="59">
      <c r="A59" s="24" t="n"/>
      <c r="B59" s="36" t="n"/>
      <c r="C59" s="36" t="n"/>
      <c r="D59" s="33" t="inlineStr">
        <is>
          <t>系统详设文档制定</t>
        </is>
      </c>
      <c r="E59" s="33" t="n"/>
      <c r="F59" s="34" t="n"/>
      <c r="G59" s="34" t="n"/>
      <c r="H59" s="34" t="n"/>
      <c r="I59" s="34" t="n"/>
      <c r="J59" s="45">
        <f>J58</f>
        <v/>
      </c>
      <c r="K59" s="45">
        <f>_xlfn.WORKDAY.INTL(J59,L59-1,1,法定节假日!$B$2:$B$67)</f>
        <v/>
      </c>
      <c r="L59" s="34" t="n">
        <v>20</v>
      </c>
      <c r="M59" s="34" t="n"/>
      <c r="N59" s="45" t="n"/>
      <c r="O59" s="45" t="n"/>
      <c r="P59" s="34">
        <f>NETWORKDAYS(N59,O59)</f>
        <v/>
      </c>
      <c r="Q59" s="23" t="n"/>
      <c r="R59" s="23" t="n"/>
      <c r="S59" s="23" t="inlineStr">
        <is>
          <t>未完成</t>
        </is>
      </c>
      <c r="T59" s="23" t="n"/>
      <c r="U59" s="23" t="n"/>
    </row>
    <row r="60" ht="15" customHeight="1" s="2">
      <c r="A60" s="24" t="n"/>
      <c r="B60" s="16" t="n"/>
      <c r="C60" s="16" t="n"/>
      <c r="D60" s="33" t="inlineStr">
        <is>
          <t>技术顾问同行评审</t>
        </is>
      </c>
      <c r="E60" s="33" t="n"/>
      <c r="F60" s="34" t="n"/>
      <c r="G60" s="34" t="n"/>
      <c r="H60" s="34" t="n"/>
      <c r="I60" s="34" t="n"/>
      <c r="J60" s="45">
        <f>_xlfn.WORKDAY.INTL(K59,1,1,法定节假日!$B$2:$B$67)</f>
        <v/>
      </c>
      <c r="K60" s="45">
        <f>_xlfn.WORKDAY.INTL(J60,L60-1,1,法定节假日!$B$2:$B$67)</f>
        <v/>
      </c>
      <c r="L60" s="34" t="n">
        <v>8</v>
      </c>
      <c r="M60" s="34" t="n"/>
      <c r="N60" s="45" t="n"/>
      <c r="O60" s="45" t="n"/>
      <c r="P60" s="34">
        <f>NETWORKDAYS(N60,O60)</f>
        <v/>
      </c>
      <c r="Q60" s="23" t="n"/>
      <c r="R60" s="23" t="n"/>
      <c r="S60" s="23" t="inlineStr">
        <is>
          <t>未完成</t>
        </is>
      </c>
      <c r="T60" s="23" t="n"/>
      <c r="U60" s="23" t="n"/>
    </row>
    <row r="61" ht="15" customHeight="1" s="2">
      <c r="A61" s="24" t="n"/>
      <c r="B61" s="16" t="n"/>
      <c r="C61" s="16" t="n"/>
      <c r="D61" s="33" t="inlineStr">
        <is>
          <t>关键用户同行评审</t>
        </is>
      </c>
      <c r="E61" s="33" t="n"/>
      <c r="F61" s="34" t="n"/>
      <c r="G61" s="34" t="n"/>
      <c r="H61" s="34" t="n"/>
      <c r="I61" s="34" t="n"/>
      <c r="J61" s="45">
        <f>_xlfn.WORKDAY.INTL(K60,1,1,法定节假日!$B$2:$B$67)</f>
        <v/>
      </c>
      <c r="K61" s="45">
        <f>_xlfn.WORKDAY.INTL(J61,L61-1,1,法定节假日!$B$2:$B$67)</f>
        <v/>
      </c>
      <c r="L61" s="34" t="n">
        <v>7</v>
      </c>
      <c r="M61" s="34" t="n"/>
      <c r="N61" s="45" t="n"/>
      <c r="O61" s="45" t="n"/>
      <c r="P61" s="34">
        <f>NETWORKDAYS(N61,O61)</f>
        <v/>
      </c>
      <c r="Q61" s="23" t="n"/>
      <c r="R61" s="23" t="n"/>
      <c r="S61" s="23" t="inlineStr">
        <is>
          <t>未完成</t>
        </is>
      </c>
      <c r="T61" s="23" t="n"/>
      <c r="U61" s="23" t="n"/>
    </row>
    <row r="62" ht="15" customHeight="1" s="2">
      <c r="A62" s="24" t="n"/>
      <c r="B62" s="16" t="n"/>
      <c r="C62" s="16" t="n"/>
      <c r="D62" s="33" t="inlineStr">
        <is>
          <t>谷斗内部同行评审</t>
        </is>
      </c>
      <c r="E62" s="33" t="n"/>
      <c r="F62" s="34" t="n"/>
      <c r="G62" s="34" t="n"/>
      <c r="H62" s="34" t="n"/>
      <c r="I62" s="34" t="n"/>
      <c r="J62" s="45">
        <f>_xlfn.WORKDAY.INTL(K61,1,1,法定节假日!$B$2:$B$67)</f>
        <v/>
      </c>
      <c r="K62" s="45">
        <f>_xlfn.WORKDAY.INTL(J62,L62-1,1,法定节假日!$B$2:$B$67)</f>
        <v/>
      </c>
      <c r="L62" s="34">
        <f>L58-SUM(L59:L61)</f>
        <v/>
      </c>
      <c r="M62" s="34" t="n"/>
      <c r="N62" s="45" t="n"/>
      <c r="O62" s="45" t="n"/>
      <c r="P62" s="34">
        <f>NETWORKDAYS(N62,O62)</f>
        <v/>
      </c>
      <c r="Q62" s="23" t="n"/>
      <c r="R62" s="23" t="n"/>
      <c r="S62" s="23" t="inlineStr">
        <is>
          <t>未完成</t>
        </is>
      </c>
      <c r="T62" s="23" t="n"/>
      <c r="U62" s="23" t="n"/>
    </row>
    <row r="63">
      <c r="A63" s="24" t="n"/>
      <c r="B63" s="26" t="inlineStr">
        <is>
          <t>2.3.3</t>
        </is>
      </c>
      <c r="C63" s="26" t="inlineStr">
        <is>
          <t>IP模块-系统详设文档制定</t>
        </is>
      </c>
      <c r="D63" s="26" t="n"/>
      <c r="E63" s="26" t="n"/>
      <c r="F63" s="28" t="n"/>
      <c r="G63" s="29" t="n"/>
      <c r="H63" s="29" t="n"/>
      <c r="I63" s="28" t="n"/>
      <c r="J63" s="44">
        <f>主计划!N32</f>
        <v/>
      </c>
      <c r="K63" s="44">
        <f>主计划!O32</f>
        <v/>
      </c>
      <c r="L63" s="29">
        <f>主计划!P32</f>
        <v/>
      </c>
      <c r="M63" s="29" t="n"/>
      <c r="N63" s="44">
        <f>MIN(N64:N67)</f>
        <v/>
      </c>
      <c r="O63" s="44">
        <f>MAX(O64:O67)</f>
        <v/>
      </c>
      <c r="P63" s="29">
        <f>NETWORKDAYS(N63,O63)</f>
        <v/>
      </c>
      <c r="Q63" s="28" t="inlineStr">
        <is>
          <t>宋沛霖</t>
        </is>
      </c>
      <c r="R63" s="28" t="n"/>
      <c r="S63" s="28">
        <f>IF(COUNTIF(S64:S67,"未完成")=COUNTA(S64:S67),"未完成",IF(COUNTIF(S64:S67,"已完成")=COUNTA(S64:S67),"已完成","进行中"))</f>
        <v/>
      </c>
      <c r="T63" s="28" t="n"/>
      <c r="U63" s="23" t="n"/>
    </row>
    <row r="64">
      <c r="A64" s="24" t="n"/>
      <c r="B64" s="36" t="n"/>
      <c r="C64" s="36" t="n"/>
      <c r="D64" s="33" t="inlineStr">
        <is>
          <t>系统详设文档制定</t>
        </is>
      </c>
      <c r="E64" s="33" t="n"/>
      <c r="F64" s="34" t="n"/>
      <c r="G64" s="34" t="n"/>
      <c r="H64" s="34" t="n"/>
      <c r="I64" s="34" t="n"/>
      <c r="J64" s="45">
        <f>J63</f>
        <v/>
      </c>
      <c r="K64" s="45">
        <f>_xlfn.WORKDAY.INTL(J64,L64-1,1,法定节假日!$B$2:$B$67)</f>
        <v/>
      </c>
      <c r="L64" s="34" t="n">
        <v>7</v>
      </c>
      <c r="M64" s="34" t="n"/>
      <c r="N64" s="45" t="n"/>
      <c r="O64" s="45" t="n"/>
      <c r="P64" s="34">
        <f>NETWORKDAYS(N64,O64)</f>
        <v/>
      </c>
      <c r="Q64" s="23" t="n"/>
      <c r="R64" s="23" t="n"/>
      <c r="S64" s="23" t="inlineStr">
        <is>
          <t>未完成</t>
        </is>
      </c>
      <c r="T64" s="23" t="n"/>
      <c r="U64" s="23" t="n"/>
    </row>
    <row r="65" ht="15" customHeight="1" s="2">
      <c r="A65" s="24" t="n"/>
      <c r="B65" s="16" t="n"/>
      <c r="C65" s="16" t="n"/>
      <c r="D65" s="33" t="inlineStr">
        <is>
          <t>技术顾问同行评审</t>
        </is>
      </c>
      <c r="E65" s="33" t="n"/>
      <c r="F65" s="34" t="n"/>
      <c r="G65" s="34" t="n"/>
      <c r="H65" s="34" t="n"/>
      <c r="I65" s="34" t="n"/>
      <c r="J65" s="45">
        <f>_xlfn.WORKDAY.INTL(K64,1,1,法定节假日!$B$2:$B$67)</f>
        <v/>
      </c>
      <c r="K65" s="45">
        <f>_xlfn.WORKDAY.INTL(J65,L65-1,1,法定节假日!$B$2:$B$67)</f>
        <v/>
      </c>
      <c r="L65" s="34" t="n">
        <v>4</v>
      </c>
      <c r="M65" s="34" t="n"/>
      <c r="N65" s="45" t="n"/>
      <c r="O65" s="45" t="n"/>
      <c r="P65" s="34">
        <f>NETWORKDAYS(N65,O65)</f>
        <v/>
      </c>
      <c r="Q65" s="23" t="n"/>
      <c r="R65" s="23" t="n"/>
      <c r="S65" s="23" t="inlineStr">
        <is>
          <t>未完成</t>
        </is>
      </c>
      <c r="T65" s="23" t="n"/>
      <c r="U65" s="23" t="n"/>
    </row>
    <row r="66" ht="15" customHeight="1" s="2">
      <c r="A66" s="24" t="n"/>
      <c r="B66" s="16" t="n"/>
      <c r="C66" s="16" t="n"/>
      <c r="D66" s="33" t="inlineStr">
        <is>
          <t>关键用户同行评审</t>
        </is>
      </c>
      <c r="E66" s="33" t="n"/>
      <c r="F66" s="34" t="n"/>
      <c r="G66" s="34" t="n"/>
      <c r="H66" s="34" t="n"/>
      <c r="I66" s="34" t="n"/>
      <c r="J66" s="45">
        <f>_xlfn.WORKDAY.INTL(K65,1,1,法定节假日!$B$2:$B$67)</f>
        <v/>
      </c>
      <c r="K66" s="45">
        <f>_xlfn.WORKDAY.INTL(J66,L66-1,1,法定节假日!$B$2:$B$67)</f>
        <v/>
      </c>
      <c r="L66" s="34" t="n">
        <v>4</v>
      </c>
      <c r="M66" s="34" t="n"/>
      <c r="N66" s="45" t="n"/>
      <c r="O66" s="45" t="n"/>
      <c r="P66" s="34">
        <f>NETWORKDAYS(N66,O66)</f>
        <v/>
      </c>
      <c r="Q66" s="23" t="n"/>
      <c r="R66" s="23" t="n"/>
      <c r="S66" s="23" t="inlineStr">
        <is>
          <t>未完成</t>
        </is>
      </c>
      <c r="T66" s="23" t="n"/>
      <c r="U66" s="23" t="n"/>
    </row>
    <row r="67" ht="15" customHeight="1" s="2">
      <c r="A67" s="24" t="n"/>
      <c r="B67" s="16" t="n"/>
      <c r="C67" s="16" t="n"/>
      <c r="D67" s="33" t="inlineStr">
        <is>
          <t>谷斗内部同行评审</t>
        </is>
      </c>
      <c r="E67" s="33" t="n"/>
      <c r="F67" s="34" t="n"/>
      <c r="G67" s="34" t="n"/>
      <c r="H67" s="34" t="n"/>
      <c r="I67" s="34" t="n"/>
      <c r="J67" s="45">
        <f>_xlfn.WORKDAY.INTL(K66,1,1,法定节假日!$B$2:$B$67)</f>
        <v/>
      </c>
      <c r="K67" s="45">
        <f>_xlfn.WORKDAY.INTL(J67,L67-1,1,法定节假日!$B$2:$B$67)</f>
        <v/>
      </c>
      <c r="L67" s="34">
        <f>L63-SUM(L64:L66)</f>
        <v/>
      </c>
      <c r="M67" s="34" t="n"/>
      <c r="N67" s="45" t="n"/>
      <c r="O67" s="45" t="n"/>
      <c r="P67" s="34">
        <f>NETWORKDAYS(N67,O67)</f>
        <v/>
      </c>
      <c r="Q67" s="23" t="n"/>
      <c r="R67" s="23" t="n"/>
      <c r="S67" s="23" t="inlineStr">
        <is>
          <t>未完成</t>
        </is>
      </c>
      <c r="T67" s="23" t="n"/>
      <c r="U67" s="23" t="n"/>
    </row>
    <row r="68">
      <c r="A68" s="24" t="n"/>
      <c r="B68" s="26" t="inlineStr">
        <is>
          <t>2.3.4</t>
        </is>
      </c>
      <c r="C68" s="26" t="inlineStr">
        <is>
          <t>系统详设评审与签字确认</t>
        </is>
      </c>
      <c r="D68" s="26" t="n"/>
      <c r="E68" s="26" t="n"/>
      <c r="F68" s="28" t="n"/>
      <c r="G68" s="29" t="n"/>
      <c r="H68" s="29" t="n"/>
      <c r="I68" s="28" t="n"/>
      <c r="J68" s="44">
        <f>主计划!N33</f>
        <v/>
      </c>
      <c r="K68" s="44">
        <f>主计划!O33</f>
        <v/>
      </c>
      <c r="L68" s="29">
        <f>主计划!P33</f>
        <v/>
      </c>
      <c r="M68" s="29" t="n"/>
      <c r="N68" s="44">
        <f>MIN(N69:N70)</f>
        <v/>
      </c>
      <c r="O68" s="44">
        <f>MAX(O69:O70)</f>
        <v/>
      </c>
      <c r="P68" s="29">
        <f>NETWORKDAYS(N68,O68)</f>
        <v/>
      </c>
      <c r="Q68" s="28" t="inlineStr">
        <is>
          <t>周年根</t>
        </is>
      </c>
      <c r="R68" s="28" t="n"/>
      <c r="S68" s="28">
        <f>IF(COUNTIF(S69:S70,"未完成")=COUNTA(S69:S70),"未完成",IF(COUNTIF(S69:S70,"已完成")=COUNTA(S69:S70),"已完成","进行中"))</f>
        <v/>
      </c>
      <c r="T68" s="28" t="n"/>
      <c r="U68" s="23" t="n"/>
    </row>
    <row r="69">
      <c r="A69" s="24" t="n"/>
      <c r="B69" s="36" t="n"/>
      <c r="C69" s="36" t="n"/>
      <c r="D69" s="33" t="inlineStr">
        <is>
          <t>正式评审汇报</t>
        </is>
      </c>
      <c r="E69" s="33" t="n"/>
      <c r="F69" s="34" t="n"/>
      <c r="G69" s="34" t="inlineStr">
        <is>
          <t>√</t>
        </is>
      </c>
      <c r="H69" s="34" t="n"/>
      <c r="I69" s="34" t="inlineStr">
        <is>
          <t>√</t>
        </is>
      </c>
      <c r="J69" s="45">
        <f>J68</f>
        <v/>
      </c>
      <c r="K69" s="45">
        <f>_xlfn.WORKDAY.INTL(J69,L69-1,1,法定节假日!$B$2:$B$67)</f>
        <v/>
      </c>
      <c r="L69" s="34" t="n">
        <v>1</v>
      </c>
      <c r="M69" s="34" t="n"/>
      <c r="N69" s="45" t="n"/>
      <c r="O69" s="45" t="n"/>
      <c r="P69" s="34">
        <f>NETWORKDAYS(N69,O69)</f>
        <v/>
      </c>
      <c r="Q69" s="23" t="n"/>
      <c r="R69" s="23" t="n"/>
      <c r="S69" s="23" t="inlineStr">
        <is>
          <t>未完成</t>
        </is>
      </c>
      <c r="T69" s="23" t="n"/>
      <c r="U69" s="23" t="n"/>
    </row>
    <row r="70" ht="15" customHeight="1" s="2">
      <c r="A70" s="24" t="n"/>
      <c r="B70" s="16" t="n"/>
      <c r="C70" s="16" t="n"/>
      <c r="D70" s="33" t="inlineStr">
        <is>
          <t>评审完成签字</t>
        </is>
      </c>
      <c r="E70" s="33" t="n"/>
      <c r="F70" s="34" t="n"/>
      <c r="G70" s="34" t="n"/>
      <c r="H70" s="34" t="n"/>
      <c r="I70" s="34" t="n"/>
      <c r="J70" s="45">
        <f>J68</f>
        <v/>
      </c>
      <c r="K70" s="45">
        <f>_xlfn.WORKDAY.INTL(J70,L70-1,1,法定节假日!$B$2:$B$67)</f>
        <v/>
      </c>
      <c r="L70" s="34" t="n">
        <v>1</v>
      </c>
      <c r="M70" s="34" t="n"/>
      <c r="N70" s="45" t="n"/>
      <c r="O70" s="45" t="n"/>
      <c r="P70" s="34">
        <f>NETWORKDAYS(N70,O70)</f>
        <v/>
      </c>
      <c r="Q70" s="23" t="n"/>
      <c r="R70" s="23" t="n"/>
      <c r="S70" s="23" t="inlineStr">
        <is>
          <t>未完成</t>
        </is>
      </c>
      <c r="T70" s="23" t="n"/>
      <c r="U70" s="23" t="n"/>
    </row>
    <row r="71">
      <c r="A71" s="17" t="n">
        <v>2.4</v>
      </c>
      <c r="B71" s="17" t="n"/>
      <c r="C71" s="17" t="inlineStr">
        <is>
          <t>输入数据处理与收集</t>
        </is>
      </c>
      <c r="D71" s="17" t="n"/>
      <c r="E71" s="17" t="n"/>
      <c r="F71" s="19" t="n"/>
      <c r="G71" s="20" t="n"/>
      <c r="H71" s="20" t="n"/>
      <c r="I71" s="19" t="n"/>
      <c r="J71" s="42">
        <f>主计划!N34</f>
        <v/>
      </c>
      <c r="K71" s="42">
        <f>主计划!O34</f>
        <v/>
      </c>
      <c r="L71" s="20">
        <f>主计划!P34</f>
        <v/>
      </c>
      <c r="M71" s="20" t="n"/>
      <c r="N71" s="42">
        <f>MIN(N72:N88)</f>
        <v/>
      </c>
      <c r="O71" s="42">
        <f>MAX(O72:O88)</f>
        <v/>
      </c>
      <c r="P71" s="20">
        <f>NETWORKDAYS(N71,O71)</f>
        <v/>
      </c>
      <c r="Q71" s="19" t="inlineStr">
        <is>
          <t>陈本鸿</t>
        </is>
      </c>
      <c r="R71" s="19" t="n"/>
      <c r="S71" s="19">
        <f>IF(COUNTIF(S72:S88,"未完成")=COUNTA(S72:S88),"未完成",IF(COUNTIF(S72:S88,"已完成")=COUNTA(S72:S88),"已完成","进行中"))</f>
        <v/>
      </c>
      <c r="T71" s="19" t="n"/>
      <c r="U71" s="23" t="n"/>
    </row>
    <row r="72">
      <c r="A72" s="24" t="n"/>
      <c r="B72" s="26" t="inlineStr">
        <is>
          <t>2.4.1</t>
        </is>
      </c>
      <c r="C72" s="26" t="inlineStr">
        <is>
          <t>数据收集模板制定与评审</t>
        </is>
      </c>
      <c r="D72" s="26" t="n"/>
      <c r="E72" s="26" t="n"/>
      <c r="F72" s="28" t="n"/>
      <c r="G72" s="29" t="n"/>
      <c r="H72" s="29" t="n"/>
      <c r="I72" s="28" t="n"/>
      <c r="J72" s="44">
        <f>主计划!N35</f>
        <v/>
      </c>
      <c r="K72" s="44">
        <f>主计划!O35</f>
        <v/>
      </c>
      <c r="L72" s="29">
        <f>主计划!P35</f>
        <v/>
      </c>
      <c r="M72" s="29" t="n"/>
      <c r="N72" s="44">
        <f>MIN(N73:N75)</f>
        <v/>
      </c>
      <c r="O72" s="44">
        <f>MAX(O73:O75)</f>
        <v/>
      </c>
      <c r="P72" s="29">
        <f>NETWORKDAYS(N72,O72)</f>
        <v/>
      </c>
      <c r="Q72" s="28" t="inlineStr">
        <is>
          <t>陈本鸿</t>
        </is>
      </c>
      <c r="R72" s="28" t="n"/>
      <c r="S72" s="28">
        <f>IF(COUNTIF(S73:S75,"未完成")=COUNTA(S73:S75),"未完成",IF(COUNTIF(S73:S75,"已完成")=COUNTA(S73:S75),"已完成","进行中"))</f>
        <v/>
      </c>
      <c r="T72" s="28" t="n"/>
      <c r="U72" s="23" t="n"/>
    </row>
    <row r="73">
      <c r="A73" s="24" t="n"/>
      <c r="B73" s="36" t="n"/>
      <c r="C73" s="36" t="n"/>
      <c r="D73" s="33" t="inlineStr">
        <is>
          <t>基础规则收集模板制定与确认</t>
        </is>
      </c>
      <c r="E73" s="33" t="n"/>
      <c r="F73" s="23" t="n"/>
      <c r="G73" s="34" t="n"/>
      <c r="H73" s="34" t="inlineStr">
        <is>
          <t>√</t>
        </is>
      </c>
      <c r="I73" s="23" t="n"/>
      <c r="J73" s="45">
        <f>J72</f>
        <v/>
      </c>
      <c r="K73" s="45">
        <f>_xlfn.WORKDAY.INTL(J73,L73-1,1,法定节假日!$B$2:$B$67)</f>
        <v/>
      </c>
      <c r="L73" s="34" t="n">
        <v>15</v>
      </c>
      <c r="M73" s="34" t="n"/>
      <c r="N73" s="45" t="n"/>
      <c r="O73" s="45" t="n"/>
      <c r="P73" s="34">
        <f>NETWORKDAYS(N73,O73)</f>
        <v/>
      </c>
      <c r="Q73" s="23" t="n"/>
      <c r="R73" s="23" t="n"/>
      <c r="S73" s="23" t="inlineStr">
        <is>
          <t>未完成</t>
        </is>
      </c>
      <c r="T73" s="23" t="n"/>
      <c r="U73" s="23" t="n"/>
    </row>
    <row r="74" ht="15" customHeight="1" s="2">
      <c r="A74" s="24" t="n"/>
      <c r="B74" s="16" t="n"/>
      <c r="C74" s="16" t="n"/>
      <c r="D74" s="33" t="inlineStr">
        <is>
          <t>新增规则模板制定与确认</t>
        </is>
      </c>
      <c r="E74" s="33" t="n"/>
      <c r="F74" s="23" t="n"/>
      <c r="G74" s="34" t="n"/>
      <c r="H74" s="34" t="n"/>
      <c r="I74" s="23" t="n"/>
      <c r="J74" s="45">
        <f>_xlfn.WORKDAY.INTL(K73,1,1,法定节假日!$B$2:$B$67)</f>
        <v/>
      </c>
      <c r="K74" s="45">
        <f>_xlfn.WORKDAY.INTL(J74,L74-1,1,法定节假日!$B$2:$B$67)</f>
        <v/>
      </c>
      <c r="L74" s="34" t="n">
        <v>15</v>
      </c>
      <c r="M74" s="34" t="n"/>
      <c r="N74" s="45" t="n"/>
      <c r="O74" s="45" t="n"/>
      <c r="P74" s="34">
        <f>NETWORKDAYS(N74,O74)</f>
        <v/>
      </c>
      <c r="Q74" s="23" t="n"/>
      <c r="R74" s="23" t="n"/>
      <c r="S74" s="23" t="inlineStr">
        <is>
          <t>未完成</t>
        </is>
      </c>
      <c r="T74" s="23" t="n"/>
      <c r="U74" s="23" t="n"/>
    </row>
    <row r="75" ht="15" customHeight="1" s="2">
      <c r="A75" s="24" t="n"/>
      <c r="B75" s="16" t="n"/>
      <c r="C75" s="16" t="n"/>
      <c r="D75" s="33" t="inlineStr">
        <is>
          <t>接口接入数据收集清单确认</t>
        </is>
      </c>
      <c r="E75" s="33" t="n"/>
      <c r="F75" s="23" t="n"/>
      <c r="G75" s="34" t="n"/>
      <c r="H75" s="34" t="n"/>
      <c r="I75" s="23" t="n"/>
      <c r="J75" s="45">
        <f>_xlfn.WORKDAY.INTL(K74,1,1,法定节假日!$B$2:$B$67)</f>
        <v/>
      </c>
      <c r="K75" s="45">
        <f>_xlfn.WORKDAY.INTL(J75,L75-1,1,法定节假日!$B$2:$B$67)</f>
        <v/>
      </c>
      <c r="L75" s="34">
        <f>L72-SUM(L73:L74)</f>
        <v/>
      </c>
      <c r="M75" s="34" t="n"/>
      <c r="N75" s="45" t="n"/>
      <c r="O75" s="45" t="n"/>
      <c r="P75" s="34">
        <f>NETWORKDAYS(N75,O75)</f>
        <v/>
      </c>
      <c r="Q75" s="23" t="n"/>
      <c r="R75" s="23" t="n"/>
      <c r="S75" s="23" t="inlineStr">
        <is>
          <t>未完成</t>
        </is>
      </c>
      <c r="T75" s="23" t="n"/>
      <c r="U75" s="23" t="n"/>
    </row>
    <row r="76">
      <c r="A76" s="24" t="n"/>
      <c r="B76" s="26" t="inlineStr">
        <is>
          <t>2.4.2</t>
        </is>
      </c>
      <c r="C76" s="26" t="inlineStr">
        <is>
          <t>少量产品数据收集与验证</t>
        </is>
      </c>
      <c r="D76" s="26" t="n"/>
      <c r="E76" s="26" t="n"/>
      <c r="F76" s="28" t="n"/>
      <c r="G76" s="29" t="n"/>
      <c r="H76" s="29" t="n"/>
      <c r="I76" s="28" t="n"/>
      <c r="J76" s="44">
        <f>主计划!N36</f>
        <v/>
      </c>
      <c r="K76" s="44">
        <f>主计划!O36</f>
        <v/>
      </c>
      <c r="L76" s="29">
        <f>主计划!P36</f>
        <v/>
      </c>
      <c r="M76" s="29" t="n"/>
      <c r="N76" s="44">
        <f>MIN(N77:N79)</f>
        <v/>
      </c>
      <c r="O76" s="44">
        <f>MAX(O77:O79)</f>
        <v/>
      </c>
      <c r="P76" s="29">
        <f>NETWORKDAYS(N76,O76)</f>
        <v/>
      </c>
      <c r="Q76" s="28" t="inlineStr">
        <is>
          <t>宋沛霖</t>
        </is>
      </c>
      <c r="R76" s="28" t="n"/>
      <c r="S76" s="28">
        <f>IF(COUNTIF(S77:S79,"未完成")=COUNTA(S77:S79),"未完成",IF(COUNTIF(S77:S79,"已完成")=COUNTA(S77:S79),"已完成","进行中"))</f>
        <v/>
      </c>
      <c r="T76" s="28" t="n"/>
      <c r="U76" s="23" t="n"/>
    </row>
    <row r="77">
      <c r="A77" s="24" t="n"/>
      <c r="B77" s="36" t="n"/>
      <c r="C77" s="36" t="n"/>
      <c r="D77" s="33" t="inlineStr">
        <is>
          <t>少量产品数据用户收集</t>
        </is>
      </c>
      <c r="E77" s="33" t="n"/>
      <c r="F77" s="23" t="n"/>
      <c r="G77" s="34" t="n"/>
      <c r="H77" s="34" t="n"/>
      <c r="I77" s="23" t="n"/>
      <c r="J77" s="45">
        <f>J76</f>
        <v/>
      </c>
      <c r="K77" s="45">
        <f>_xlfn.WORKDAY.INTL(J77,L77-1,1,法定节假日!$B$2:$B$67)</f>
        <v/>
      </c>
      <c r="L77" s="34" t="n">
        <v>16</v>
      </c>
      <c r="M77" s="34" t="n"/>
      <c r="N77" s="45" t="n"/>
      <c r="O77" s="45" t="n"/>
      <c r="P77" s="34">
        <f>NETWORKDAYS(N77,O77)</f>
        <v/>
      </c>
      <c r="Q77" s="23" t="n"/>
      <c r="R77" s="23" t="n"/>
      <c r="S77" s="23" t="inlineStr">
        <is>
          <t>未完成</t>
        </is>
      </c>
      <c r="T77" s="23" t="n"/>
      <c r="U77" s="23" t="n"/>
    </row>
    <row r="78" ht="15" customHeight="1" s="2">
      <c r="A78" s="24" t="n"/>
      <c r="B78" s="16" t="n"/>
      <c r="C78" s="16" t="n"/>
      <c r="D78" s="33" t="inlineStr">
        <is>
          <t>产品demo验证与确认</t>
        </is>
      </c>
      <c r="E78" s="33" t="n"/>
      <c r="F78" s="23" t="n"/>
      <c r="G78" s="34" t="n"/>
      <c r="H78" s="34" t="n"/>
      <c r="I78" s="23" t="n"/>
      <c r="J78" s="45">
        <f>_xlfn.WORKDAY.INTL(K77,1,1,法定节假日!$B$2:$B$67)</f>
        <v/>
      </c>
      <c r="K78" s="45">
        <f>_xlfn.WORKDAY.INTL(J78,L78-1,1,法定节假日!$B$2:$B$67)</f>
        <v/>
      </c>
      <c r="L78" s="34" t="n">
        <v>13</v>
      </c>
      <c r="M78" s="34" t="n"/>
      <c r="N78" s="45" t="n"/>
      <c r="O78" s="45" t="n"/>
      <c r="P78" s="34">
        <f>NETWORKDAYS(N78,O78)</f>
        <v/>
      </c>
      <c r="Q78" s="23" t="n"/>
      <c r="R78" s="23" t="n"/>
      <c r="S78" s="23" t="inlineStr">
        <is>
          <t>未完成</t>
        </is>
      </c>
      <c r="T78" s="23" t="n"/>
      <c r="U78" s="23" t="n"/>
    </row>
    <row r="79" ht="15" customHeight="1" s="2">
      <c r="A79" s="24" t="n"/>
      <c r="B79" s="16" t="n"/>
      <c r="C79" s="16" t="n"/>
      <c r="D79" s="33" t="inlineStr">
        <is>
          <t>数据收集模板调整</t>
        </is>
      </c>
      <c r="E79" s="33" t="n"/>
      <c r="F79" s="23" t="n"/>
      <c r="G79" s="34" t="n"/>
      <c r="H79" s="34" t="n"/>
      <c r="I79" s="23" t="n"/>
      <c r="J79" s="45">
        <f>_xlfn.WORKDAY.INTL(K78,1,1,法定节假日!$B$2:$B$67)</f>
        <v/>
      </c>
      <c r="K79" s="45">
        <f>_xlfn.WORKDAY.INTL(J79,L79-1,1,法定节假日!$B$2:$B$67)</f>
        <v/>
      </c>
      <c r="L79" s="34">
        <f>L76-SUM(L77:L78)</f>
        <v/>
      </c>
      <c r="M79" s="34" t="n"/>
      <c r="N79" s="45" t="n"/>
      <c r="O79" s="45" t="n"/>
      <c r="P79" s="34">
        <f>NETWORKDAYS(N79,O79)</f>
        <v/>
      </c>
      <c r="Q79" s="23" t="n"/>
      <c r="R79" s="23" t="n"/>
      <c r="S79" s="23" t="inlineStr">
        <is>
          <t>未完成</t>
        </is>
      </c>
      <c r="T79" s="23" t="n"/>
      <c r="U79" s="23" t="n"/>
    </row>
    <row r="80">
      <c r="A80" s="24" t="n"/>
      <c r="B80" s="26" t="inlineStr">
        <is>
          <t>2.4.3</t>
        </is>
      </c>
      <c r="C80" s="26" t="inlineStr">
        <is>
          <t>接口接入数据管理方案制定</t>
        </is>
      </c>
      <c r="D80" s="26" t="n"/>
      <c r="E80" s="26" t="n"/>
      <c r="F80" s="28" t="n"/>
      <c r="G80" s="29" t="n"/>
      <c r="H80" s="29" t="n"/>
      <c r="I80" s="28" t="n"/>
      <c r="J80" s="44">
        <f>主计划!N37</f>
        <v/>
      </c>
      <c r="K80" s="44">
        <f>主计划!O37</f>
        <v/>
      </c>
      <c r="L80" s="29">
        <f>主计划!P37</f>
        <v/>
      </c>
      <c r="M80" s="29" t="n"/>
      <c r="N80" s="44">
        <f>MIN(N81:N83)</f>
        <v/>
      </c>
      <c r="O80" s="44">
        <f>MAX(O81:O83)</f>
        <v/>
      </c>
      <c r="P80" s="29">
        <f>NETWORKDAYS(N80,O80)</f>
        <v/>
      </c>
      <c r="Q80" s="28" t="inlineStr">
        <is>
          <t>宋沛霖</t>
        </is>
      </c>
      <c r="R80" s="28" t="n"/>
      <c r="S80" s="28">
        <f>IF(COUNTIF(S81:S83,"未完成")=COUNTA(S81:S83),"未完成",IF(COUNTIF(S81:S83,"已完成")=COUNTA(S81:S83),"已完成","进行中"))</f>
        <v/>
      </c>
      <c r="T80" s="28" t="n"/>
      <c r="U80" s="23" t="n"/>
    </row>
    <row r="81">
      <c r="A81" s="24" t="n"/>
      <c r="B81" s="36" t="n"/>
      <c r="C81" s="36" t="n"/>
      <c r="D81" s="33" t="inlineStr">
        <is>
          <t>数据收集与分析讨论</t>
        </is>
      </c>
      <c r="E81" s="33" t="n"/>
      <c r="F81" s="23" t="n"/>
      <c r="G81" s="34" t="n"/>
      <c r="H81" s="34" t="n"/>
      <c r="I81" s="23" t="n"/>
      <c r="J81" s="45">
        <f>J80</f>
        <v/>
      </c>
      <c r="K81" s="45">
        <f>_xlfn.WORKDAY.INTL(J81,L81-1,1,法定节假日!$B$2:$B$67)</f>
        <v/>
      </c>
      <c r="L81" s="34" t="n">
        <v>17</v>
      </c>
      <c r="M81" s="34" t="n"/>
      <c r="N81" s="45" t="n"/>
      <c r="O81" s="45" t="n"/>
      <c r="P81" s="34">
        <f>NETWORKDAYS(N81,O81)</f>
        <v/>
      </c>
      <c r="Q81" s="23" t="n"/>
      <c r="R81" s="23" t="n"/>
      <c r="S81" s="23" t="inlineStr">
        <is>
          <t>未完成</t>
        </is>
      </c>
      <c r="T81" s="23" t="n"/>
      <c r="U81" s="23" t="n"/>
    </row>
    <row r="82" ht="15" customHeight="1" s="2">
      <c r="A82" s="24" t="n"/>
      <c r="B82" s="16" t="n"/>
      <c r="C82" s="16" t="n"/>
      <c r="D82" s="33" t="inlineStr">
        <is>
          <t>数据管理需求方案制定</t>
        </is>
      </c>
      <c r="E82" s="33" t="n"/>
      <c r="F82" s="23" t="n"/>
      <c r="G82" s="34" t="n"/>
      <c r="H82" s="34" t="n"/>
      <c r="I82" s="23" t="n"/>
      <c r="J82" s="45">
        <f>_xlfn.WORKDAY.INTL(K81,1,1,法定节假日!$B$2:$B$67)</f>
        <v/>
      </c>
      <c r="K82" s="45">
        <f>_xlfn.WORKDAY.INTL(J82,L82-1,1,法定节假日!$B$2:$B$67)</f>
        <v/>
      </c>
      <c r="L82" s="34" t="n">
        <v>17</v>
      </c>
      <c r="M82" s="34" t="n"/>
      <c r="N82" s="45" t="n"/>
      <c r="O82" s="45" t="n"/>
      <c r="P82" s="34">
        <f>NETWORKDAYS(N82,O82)</f>
        <v/>
      </c>
      <c r="Q82" s="23" t="n"/>
      <c r="R82" s="23" t="n"/>
      <c r="S82" s="23" t="inlineStr">
        <is>
          <t>未完成</t>
        </is>
      </c>
      <c r="T82" s="23" t="n"/>
      <c r="U82" s="23" t="n"/>
    </row>
    <row r="83" ht="15" customHeight="1" s="2">
      <c r="A83" s="24" t="n"/>
      <c r="B83" s="16" t="n"/>
      <c r="C83" s="16" t="n"/>
      <c r="D83" s="33" t="inlineStr">
        <is>
          <t>数据管理需求方案评审发布</t>
        </is>
      </c>
      <c r="E83" s="33" t="n"/>
      <c r="F83" s="23" t="n"/>
      <c r="G83" s="34" t="inlineStr">
        <is>
          <t>√</t>
        </is>
      </c>
      <c r="H83" s="34" t="inlineStr">
        <is>
          <t>√</t>
        </is>
      </c>
      <c r="I83" s="34" t="inlineStr">
        <is>
          <t>√</t>
        </is>
      </c>
      <c r="J83" s="45">
        <f>_xlfn.WORKDAY.INTL(K82,1,1,法定节假日!$B$2:$B$67)</f>
        <v/>
      </c>
      <c r="K83" s="45">
        <f>_xlfn.WORKDAY.INTL(J83,L83-1,1,法定节假日!$B$2:$B$67)</f>
        <v/>
      </c>
      <c r="L83" s="34">
        <f>L80-SUM(L81:L82)</f>
        <v/>
      </c>
      <c r="M83" s="34" t="n"/>
      <c r="N83" s="45" t="n"/>
      <c r="O83" s="45" t="n"/>
      <c r="P83" s="34">
        <f>NETWORKDAYS(N83,O83)</f>
        <v/>
      </c>
      <c r="Q83" s="23" t="n"/>
      <c r="R83" s="23" t="n"/>
      <c r="S83" s="23" t="inlineStr">
        <is>
          <t>未完成</t>
        </is>
      </c>
      <c r="T83" s="23" t="n"/>
      <c r="U83" s="23" t="n"/>
    </row>
    <row r="84">
      <c r="A84" s="24" t="n"/>
      <c r="B84" s="26" t="inlineStr">
        <is>
          <t>2.4.4</t>
        </is>
      </c>
      <c r="C84" s="26" t="inlineStr">
        <is>
          <t>对接系统数据处理与验证</t>
        </is>
      </c>
      <c r="D84" s="26" t="n"/>
      <c r="E84" s="26" t="n"/>
      <c r="F84" s="28" t="n"/>
      <c r="G84" s="29" t="n"/>
      <c r="H84" s="29" t="n"/>
      <c r="I84" s="28" t="n"/>
      <c r="J84" s="44">
        <f>主计划!N38</f>
        <v/>
      </c>
      <c r="K84" s="44">
        <f>主计划!O38</f>
        <v/>
      </c>
      <c r="L84" s="29">
        <f>主计划!P38</f>
        <v/>
      </c>
      <c r="M84" s="29" t="n"/>
      <c r="N84" s="44">
        <f>MIN(N85:N85)</f>
        <v/>
      </c>
      <c r="O84" s="44">
        <f>MAX(O85:O85)</f>
        <v/>
      </c>
      <c r="P84" s="29">
        <f>NETWORKDAYS(N84,O84)</f>
        <v/>
      </c>
      <c r="Q84" s="28" t="inlineStr">
        <is>
          <t>宋沛霖</t>
        </is>
      </c>
      <c r="R84" s="28" t="n"/>
      <c r="S84" s="28">
        <f>IF(COUNTIF(S85:S85,"未完成")=COUNTA(S85:S85),"未完成",IF(COUNTIF(S85:S85,"已完成")=COUNTA(S85:S85),"已完成","进行中"))</f>
        <v/>
      </c>
      <c r="T84" s="28" t="n"/>
      <c r="U84" s="23" t="n"/>
    </row>
    <row r="85">
      <c r="A85" s="24" t="n"/>
      <c r="B85" s="36" t="n"/>
      <c r="C85" s="36" t="n"/>
      <c r="D85" s="23" t="inlineStr">
        <is>
          <t>xxx系统数据处理与结果验证</t>
        </is>
      </c>
      <c r="E85" s="23" t="n"/>
      <c r="F85" s="23" t="n"/>
      <c r="G85" s="34" t="n"/>
      <c r="H85" s="34" t="n"/>
      <c r="I85" s="23" t="n"/>
      <c r="J85" s="45">
        <f>J84</f>
        <v/>
      </c>
      <c r="K85" s="45">
        <f>_xlfn.WORKDAY.INTL(J85,L85-1,1,法定节假日!$B$2:$B$67)</f>
        <v/>
      </c>
      <c r="L85" s="34">
        <f>L84</f>
        <v/>
      </c>
      <c r="M85" s="34" t="n"/>
      <c r="N85" s="45" t="n"/>
      <c r="O85" s="45" t="n"/>
      <c r="P85" s="34">
        <f>NETWORKDAYS(N85,O85)</f>
        <v/>
      </c>
      <c r="Q85" s="23" t="n"/>
      <c r="R85" s="23" t="n"/>
      <c r="S85" s="23" t="inlineStr">
        <is>
          <t>未完成</t>
        </is>
      </c>
      <c r="T85" s="23" t="n"/>
      <c r="U85" s="23" t="n"/>
    </row>
    <row r="86">
      <c r="A86" s="24" t="n"/>
      <c r="B86" s="26" t="inlineStr">
        <is>
          <t>2.4.5</t>
        </is>
      </c>
      <c r="C86" s="26" t="inlineStr">
        <is>
          <t>全量产品数据与规则收集</t>
        </is>
      </c>
      <c r="D86" s="26" t="n"/>
      <c r="E86" s="26" t="n"/>
      <c r="F86" s="28" t="n"/>
      <c r="G86" s="29" t="n"/>
      <c r="H86" s="29" t="n"/>
      <c r="I86" s="28" t="n"/>
      <c r="J86" s="44">
        <f>主计划!N39</f>
        <v/>
      </c>
      <c r="K86" s="44">
        <f>主计划!O39</f>
        <v/>
      </c>
      <c r="L86" s="29">
        <f>主计划!P39</f>
        <v/>
      </c>
      <c r="M86" s="29" t="n"/>
      <c r="N86" s="44">
        <f>MIN(N87:N88)</f>
        <v/>
      </c>
      <c r="O86" s="44">
        <f>MAX(O87:O88)</f>
        <v/>
      </c>
      <c r="P86" s="29">
        <f>NETWORKDAYS(N86,O86)</f>
        <v/>
      </c>
      <c r="Q86" s="28" t="inlineStr">
        <is>
          <t>宋沛霖</t>
        </is>
      </c>
      <c r="R86" s="28" t="n"/>
      <c r="S86" s="28">
        <f>IF(COUNTIF(S87:S88,"未完成")=COUNTA(S87:S88),"未完成",IF(COUNTIF(S87:S88,"已完成")=COUNTA(S87:S88),"已完成","进行中"))</f>
        <v/>
      </c>
      <c r="T86" s="28" t="n"/>
      <c r="U86" s="23" t="n"/>
    </row>
    <row r="87">
      <c r="A87" s="24" t="n"/>
      <c r="B87" s="36" t="n"/>
      <c r="C87" s="36" t="n"/>
      <c r="D87" s="23" t="inlineStr">
        <is>
          <t>全量产品清单确认</t>
        </is>
      </c>
      <c r="E87" s="23" t="n"/>
      <c r="F87" s="23" t="n"/>
      <c r="G87" s="34" t="n"/>
      <c r="H87" s="34" t="n"/>
      <c r="I87" s="23" t="n"/>
      <c r="J87" s="45">
        <f>J86</f>
        <v/>
      </c>
      <c r="K87" s="45">
        <f>_xlfn.WORKDAY.INTL(J87,L87-1,1,法定节假日!$B$2:$B$67)</f>
        <v/>
      </c>
      <c r="L87" s="34" t="n">
        <v>12</v>
      </c>
      <c r="M87" s="34" t="n"/>
      <c r="N87" s="45" t="n"/>
      <c r="O87" s="45" t="n"/>
      <c r="P87" s="34">
        <f>NETWORKDAYS(N87,O87)</f>
        <v/>
      </c>
      <c r="Q87" s="23" t="n"/>
      <c r="R87" s="23" t="n"/>
      <c r="S87" s="23" t="inlineStr">
        <is>
          <t>未完成</t>
        </is>
      </c>
      <c r="T87" s="23" t="n"/>
      <c r="U87" s="23" t="n"/>
    </row>
    <row r="88" ht="15" customHeight="1" s="2">
      <c r="A88" s="24" t="n"/>
      <c r="B88" s="16" t="n"/>
      <c r="C88" s="16" t="n"/>
      <c r="D88" s="33" t="inlineStr">
        <is>
          <t>全量产品数据与规则收集</t>
        </is>
      </c>
      <c r="E88" s="33" t="n"/>
      <c r="F88" s="23" t="n"/>
      <c r="G88" s="34" t="n"/>
      <c r="H88" s="34" t="n"/>
      <c r="I88" s="23" t="n"/>
      <c r="J88" s="45">
        <f>_xlfn.WORKDAY.INTL(K87,1,1,法定节假日!$B$2:$B$67)</f>
        <v/>
      </c>
      <c r="K88" s="45">
        <f>_xlfn.WORKDAY.INTL(J88,L88-1,1,法定节假日!$B$2:$B$67)</f>
        <v/>
      </c>
      <c r="L88" s="34">
        <f>L86-SUM(L87:L87)</f>
        <v/>
      </c>
      <c r="M88" s="34" t="n"/>
      <c r="N88" s="45" t="n"/>
      <c r="O88" s="45" t="n"/>
      <c r="P88" s="34">
        <f>NETWORKDAYS(N88,O88)</f>
        <v/>
      </c>
      <c r="Q88" s="23" t="n"/>
      <c r="R88" s="23" t="n"/>
      <c r="S88" s="23" t="inlineStr">
        <is>
          <t>未完成</t>
        </is>
      </c>
      <c r="T88" s="23" t="n"/>
      <c r="U88" s="23" t="n"/>
    </row>
    <row r="89">
      <c r="A89" s="17" t="n">
        <v>2.5</v>
      </c>
      <c r="B89" s="17" t="n"/>
      <c r="C89" s="17" t="inlineStr">
        <is>
          <t>运行环境准备</t>
        </is>
      </c>
      <c r="D89" s="17" t="n"/>
      <c r="E89" s="17" t="n"/>
      <c r="F89" s="19" t="n"/>
      <c r="G89" s="20" t="n"/>
      <c r="H89" s="20" t="n"/>
      <c r="I89" s="19" t="n"/>
      <c r="J89" s="42">
        <f>主计划!N40</f>
        <v/>
      </c>
      <c r="K89" s="42">
        <f>主计划!O40</f>
        <v/>
      </c>
      <c r="L89" s="20">
        <f>主计划!P47</f>
        <v/>
      </c>
      <c r="M89" s="20" t="n"/>
      <c r="N89" s="42">
        <f>MIN(N90:N97)</f>
        <v/>
      </c>
      <c r="O89" s="42">
        <f>MAX(O90:O97)</f>
        <v/>
      </c>
      <c r="P89" s="20">
        <f>NETWORKDAYS(N89,O89)</f>
        <v/>
      </c>
      <c r="Q89" s="19" t="inlineStr">
        <is>
          <t>陈本鸿</t>
        </is>
      </c>
      <c r="R89" s="19" t="n"/>
      <c r="S89" s="19">
        <f>IF(COUNTIF(S90:S97,"未完成")=COUNTA(S90:S97),"未完成",IF(COUNTIF(S90:S97,"已完成")=COUNTA(S90:S97),"已完成","进行中"))</f>
        <v/>
      </c>
      <c r="T89" s="19" t="n"/>
      <c r="U89" s="23" t="n"/>
    </row>
    <row r="90">
      <c r="A90" s="24" t="n"/>
      <c r="B90" s="26" t="inlineStr">
        <is>
          <t>2.5.1</t>
        </is>
      </c>
      <c r="C90" s="26" t="inlineStr">
        <is>
          <t>运行环境需求确认</t>
        </is>
      </c>
      <c r="D90" s="26" t="n"/>
      <c r="E90" s="26" t="n"/>
      <c r="F90" s="28" t="n"/>
      <c r="G90" s="29" t="n"/>
      <c r="H90" s="29" t="n"/>
      <c r="I90" s="28" t="n"/>
      <c r="J90" s="44">
        <f>主计划!N41</f>
        <v/>
      </c>
      <c r="K90" s="44">
        <f>主计划!O41</f>
        <v/>
      </c>
      <c r="L90" s="29">
        <f>主计划!P41</f>
        <v/>
      </c>
      <c r="M90" s="29" t="n"/>
      <c r="N90" s="44">
        <f>MIN(N91:N91)</f>
        <v/>
      </c>
      <c r="O90" s="44">
        <f>MAX(O91:O91)</f>
        <v/>
      </c>
      <c r="P90" s="29">
        <f>NETWORKDAYS(N90,O90)</f>
        <v/>
      </c>
      <c r="Q90" s="28" t="inlineStr">
        <is>
          <t>陈本鸿</t>
        </is>
      </c>
      <c r="R90" s="28" t="n"/>
      <c r="S90" s="28">
        <f>IF(COUNTIF(S91:S91,"未完成")=COUNTA(S91:S91),"未完成",IF(COUNTIF(S91:S91,"已完成")=COUNTA(S91:S91),"已完成","进行中"))</f>
        <v/>
      </c>
      <c r="T90" s="28" t="n"/>
      <c r="U90" s="23" t="n"/>
    </row>
    <row r="91">
      <c r="A91" s="24" t="n"/>
      <c r="B91" s="24" t="n"/>
      <c r="C91" s="33" t="n"/>
      <c r="D91" s="33" t="inlineStr">
        <is>
          <t>环境服务器配置及端口确认</t>
        </is>
      </c>
      <c r="E91" s="33" t="n"/>
      <c r="F91" s="23" t="n"/>
      <c r="G91" s="34" t="n"/>
      <c r="H91" s="34" t="n"/>
      <c r="I91" s="23" t="n"/>
      <c r="J91" s="45">
        <f>J90</f>
        <v/>
      </c>
      <c r="K91" s="45">
        <f>_xlfn.WORKDAY.INTL(J91,L91-1,1,法定节假日!$B$2:$B$67)</f>
        <v/>
      </c>
      <c r="L91" s="34">
        <f>L90</f>
        <v/>
      </c>
      <c r="M91" s="34" t="n"/>
      <c r="N91" s="45" t="n"/>
      <c r="O91" s="45" t="n"/>
      <c r="P91" s="34">
        <f>NETWORKDAYS(N91,O91)</f>
        <v/>
      </c>
      <c r="Q91" s="23" t="n"/>
      <c r="R91" s="23" t="n"/>
      <c r="S91" s="23" t="inlineStr">
        <is>
          <t>未完成</t>
        </is>
      </c>
      <c r="T91" s="23" t="n"/>
      <c r="U91" s="23" t="n"/>
    </row>
    <row r="92">
      <c r="A92" s="24" t="n"/>
      <c r="B92" s="26" t="inlineStr">
        <is>
          <t>2.5.2</t>
        </is>
      </c>
      <c r="C92" s="26" t="inlineStr">
        <is>
          <t>客户IT环境准备</t>
        </is>
      </c>
      <c r="D92" s="26" t="n"/>
      <c r="E92" s="26" t="n"/>
      <c r="F92" s="28" t="n"/>
      <c r="G92" s="29" t="n"/>
      <c r="H92" s="29" t="n"/>
      <c r="I92" s="28" t="n"/>
      <c r="J92" s="44">
        <f>主计划!N42</f>
        <v/>
      </c>
      <c r="K92" s="44">
        <f>主计划!O42</f>
        <v/>
      </c>
      <c r="L92" s="29">
        <f>主计划!P42</f>
        <v/>
      </c>
      <c r="M92" s="29" t="n"/>
      <c r="N92" s="44">
        <f>MIN(N93:N93)</f>
        <v/>
      </c>
      <c r="O92" s="44">
        <f>MAX(O93:O93)</f>
        <v/>
      </c>
      <c r="P92" s="29">
        <f>NETWORKDAYS(N92,O92)</f>
        <v/>
      </c>
      <c r="Q92" s="28" t="inlineStr">
        <is>
          <t>陈本鸿</t>
        </is>
      </c>
      <c r="R92" s="28" t="n"/>
      <c r="S92" s="28">
        <f>IF(COUNTIF(S93:S93,"未完成")=COUNTA(S93:S93),"未完成",IF(COUNTIF(S93:S93,"已完成")=COUNTA(S93:S93),"已完成","进行中"))</f>
        <v/>
      </c>
      <c r="T92" s="28" t="n"/>
      <c r="U92" s="23" t="n"/>
    </row>
    <row r="93">
      <c r="A93" s="24" t="n"/>
      <c r="B93" s="24" t="n"/>
      <c r="C93" s="33" t="n"/>
      <c r="D93" s="33" t="inlineStr">
        <is>
          <t>系统所需服务器采购与安装</t>
        </is>
      </c>
      <c r="E93" s="33" t="n"/>
      <c r="F93" s="23" t="n"/>
      <c r="G93" s="34" t="n"/>
      <c r="H93" s="34" t="n"/>
      <c r="I93" s="23" t="n"/>
      <c r="J93" s="45">
        <f>J92</f>
        <v/>
      </c>
      <c r="K93" s="45">
        <f>_xlfn.WORKDAY.INTL(J93,L93-1,1,法定节假日!$B$2:$B$67)</f>
        <v/>
      </c>
      <c r="L93" s="34">
        <f>L92</f>
        <v/>
      </c>
      <c r="M93" s="34" t="n"/>
      <c r="N93" s="45" t="n"/>
      <c r="O93" s="45" t="n"/>
      <c r="P93" s="34">
        <f>NETWORKDAYS(N93,O93)</f>
        <v/>
      </c>
      <c r="Q93" s="23" t="n"/>
      <c r="R93" s="23" t="n"/>
      <c r="S93" s="23" t="inlineStr">
        <is>
          <t>未完成</t>
        </is>
      </c>
      <c r="T93" s="23" t="n"/>
      <c r="U93" s="23" t="n"/>
    </row>
    <row r="94">
      <c r="A94" s="24" t="n"/>
      <c r="B94" s="26" t="inlineStr">
        <is>
          <t>2.5.3</t>
        </is>
      </c>
      <c r="C94" s="26" t="inlineStr">
        <is>
          <t>网络访问准备</t>
        </is>
      </c>
      <c r="D94" s="26" t="n"/>
      <c r="E94" s="26" t="n"/>
      <c r="F94" s="28" t="n"/>
      <c r="G94" s="29" t="n"/>
      <c r="H94" s="29" t="n"/>
      <c r="I94" s="28" t="n"/>
      <c r="J94" s="44">
        <f>主计划!N43</f>
        <v/>
      </c>
      <c r="K94" s="44">
        <f>主计划!O43</f>
        <v/>
      </c>
      <c r="L94" s="29">
        <f>主计划!P43</f>
        <v/>
      </c>
      <c r="M94" s="29" t="n"/>
      <c r="N94" s="44">
        <f>MIN(N95:N97)</f>
        <v/>
      </c>
      <c r="O94" s="44">
        <f>MAX(O95:O97)</f>
        <v/>
      </c>
      <c r="P94" s="29">
        <f>NETWORKDAYS(N94,O94)</f>
        <v/>
      </c>
      <c r="Q94" s="28" t="inlineStr">
        <is>
          <t>陈本鸿</t>
        </is>
      </c>
      <c r="R94" s="28" t="n"/>
      <c r="S94" s="28">
        <f>IF(COUNTIF(S95:S97,"未完成")=COUNTA(S95:S97),"未完成",IF(COUNTIF(S95:S97,"已完成")=COUNTA(S95:S97),"已完成","进行中"))</f>
        <v/>
      </c>
      <c r="T94" s="28" t="n"/>
      <c r="U94" s="23" t="n"/>
    </row>
    <row r="95">
      <c r="A95" s="24" t="n"/>
      <c r="B95" s="36" t="n"/>
      <c r="C95" s="36" t="n"/>
      <c r="D95" s="33" t="inlineStr">
        <is>
          <t>VPN与堡垒机申请</t>
        </is>
      </c>
      <c r="E95" s="33" t="n"/>
      <c r="F95" s="23" t="n"/>
      <c r="G95" s="34" t="n"/>
      <c r="H95" s="34" t="n"/>
      <c r="I95" s="23" t="n"/>
      <c r="J95" s="45">
        <f>J94</f>
        <v/>
      </c>
      <c r="K95" s="45">
        <f>_xlfn.WORKDAY.INTL(J95,L95-1,1,法定节假日!$B$2:$B$67)</f>
        <v/>
      </c>
      <c r="L95" s="34" t="n">
        <v>4</v>
      </c>
      <c r="M95" s="34" t="n"/>
      <c r="N95" s="45" t="n"/>
      <c r="O95" s="45" t="n"/>
      <c r="P95" s="34">
        <f>NETWORKDAYS(N95,O95)</f>
        <v/>
      </c>
      <c r="Q95" s="23" t="n"/>
      <c r="R95" s="23" t="n"/>
      <c r="S95" s="23" t="inlineStr">
        <is>
          <t>未完成</t>
        </is>
      </c>
      <c r="T95" s="23" t="n"/>
      <c r="U95" s="23" t="n"/>
    </row>
    <row r="96" ht="15" customHeight="1" s="2">
      <c r="A96" s="24" t="n"/>
      <c r="B96" s="16" t="n"/>
      <c r="C96" s="16" t="n"/>
      <c r="D96" s="33" t="inlineStr">
        <is>
          <t>服务器端口访问开通</t>
        </is>
      </c>
      <c r="E96" s="33" t="n"/>
      <c r="F96" s="23" t="n"/>
      <c r="G96" s="34" t="n"/>
      <c r="H96" s="34" t="n"/>
      <c r="I96" s="23" t="n"/>
      <c r="J96" s="45">
        <f>_xlfn.WORKDAY.INTL(K95,1,1,法定节假日!$B$2:$B$67)</f>
        <v/>
      </c>
      <c r="K96" s="45">
        <f>_xlfn.WORKDAY.INTL(J96,L96-1,1,法定节假日!$B$2:$B$67)</f>
        <v/>
      </c>
      <c r="L96" s="34" t="n">
        <v>4</v>
      </c>
      <c r="M96" s="34" t="n"/>
      <c r="N96" s="45" t="n"/>
      <c r="O96" s="45" t="n"/>
      <c r="P96" s="34">
        <f>NETWORKDAYS(N96,O96)</f>
        <v/>
      </c>
      <c r="Q96" s="23" t="n"/>
      <c r="R96" s="23" t="n"/>
      <c r="S96" s="23" t="inlineStr">
        <is>
          <t>未完成</t>
        </is>
      </c>
      <c r="T96" s="23" t="n"/>
      <c r="U96" s="23" t="n"/>
    </row>
    <row r="97" ht="15" customHeight="1" s="2">
      <c r="A97" s="24" t="n"/>
      <c r="B97" s="16" t="n"/>
      <c r="C97" s="16" t="n"/>
      <c r="D97" s="33" t="inlineStr">
        <is>
          <t>各账号登录确认</t>
        </is>
      </c>
      <c r="E97" s="33" t="n"/>
      <c r="F97" s="23" t="n"/>
      <c r="G97" s="34" t="n"/>
      <c r="H97" s="34" t="n"/>
      <c r="I97" s="23" t="n"/>
      <c r="J97" s="45">
        <f>_xlfn.WORKDAY.INTL(K96,1,1,法定节假日!$B$2:$B$67)</f>
        <v/>
      </c>
      <c r="K97" s="45">
        <f>_xlfn.WORKDAY.INTL(J97,L97-1,1,法定节假日!$B$2:$B$67)</f>
        <v/>
      </c>
      <c r="L97" s="34">
        <f>L94-SUM(L95:L96)</f>
        <v/>
      </c>
      <c r="M97" s="34" t="n"/>
      <c r="N97" s="45" t="n"/>
      <c r="O97" s="45" t="n"/>
      <c r="P97" s="34">
        <f>NETWORKDAYS(N97,O97)</f>
        <v/>
      </c>
      <c r="Q97" s="23" t="n"/>
      <c r="R97" s="23" t="n"/>
      <c r="S97" s="23" t="inlineStr">
        <is>
          <t>未完成</t>
        </is>
      </c>
      <c r="T97" s="23" t="n"/>
      <c r="U97" s="23" t="n"/>
    </row>
  </sheetData>
  <mergeCells count="15">
    <mergeCell ref="U1:U2"/>
    <mergeCell ref="Q1:R1"/>
    <mergeCell ref="S1:T1"/>
    <mergeCell ref="J1:K1"/>
    <mergeCell ref="C1:C2"/>
    <mergeCell ref="B1:B2"/>
    <mergeCell ref="D1:D2"/>
    <mergeCell ref="E1:E2"/>
    <mergeCell ref="F1:F2"/>
    <mergeCell ref="I1:I2"/>
    <mergeCell ref="G1:G2"/>
    <mergeCell ref="M1:M2"/>
    <mergeCell ref="N1:O1"/>
    <mergeCell ref="H1:H2"/>
    <mergeCell ref="A1:A2"/>
  </mergeCells>
  <dataValidations count="2">
    <dataValidation sqref="M5:M6 M8:M12 M14:M18 M20:M24 M26:M29 M32:M33 M35:M38 M40:M43 M45:M48 M50:M51 M54:M57 M59:M62 M64:M67 M69:M70 M73:M75 M77:M79 M81:M83 M85 M87:M88 M91 M93 M95:M97" showDropDown="0" showInputMessage="0" showErrorMessage="0" allowBlank="1" type="list">
      <formula1>"是"</formula1>
    </dataValidation>
    <dataValidation sqref="S5:S6 S8:S12 S14:S18 S20:S24 S26:S29 S32:S33 S35:S38 S40:S43 S45:S48 S50:S51 S54:S57 S59:S62 S64:S67 S69:S70 S73:S75 S77:S79 S81:S83 S85 S87:S88 S91 S93 S95:S97" showDropDown="0" showInputMessage="0" showErrorMessage="0" allowBlank="1" type="list">
      <formula1>"未完成,进行中,已完成"</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U43"/>
  <sheetViews>
    <sheetView topLeftCell="D1" workbookViewId="0">
      <selection activeCell="O10" sqref="O10"/>
    </sheetView>
  </sheetViews>
  <sheetFormatPr baseColWidth="8" defaultColWidth="8.8359375" defaultRowHeight="14" customHeight="1" outlineLevelCol="0"/>
  <cols>
    <col width="8.8359375" customWidth="1" style="2" min="1" max="2"/>
    <col width="28.1640625" customWidth="1" style="47" min="3" max="3"/>
    <col width="28.6640625" customWidth="1" style="47" min="4" max="4"/>
    <col width="22.6640625" customWidth="1" style="47" min="5" max="5"/>
    <col width="7.5" customWidth="1" style="47" min="6" max="9"/>
    <col width="10.1640625" customWidth="1" style="47" min="10" max="12"/>
    <col width="11.5" customWidth="1" style="47" min="13" max="13"/>
    <col width="10.1640625" customWidth="1" style="47" min="14" max="16"/>
    <col width="8.8359375" customWidth="1" style="2" min="17" max="18"/>
    <col width="9" customWidth="1" style="48" min="19" max="19"/>
    <col width="11.6640625" customWidth="1" style="47" min="20" max="20"/>
    <col width="8.8359375" customWidth="1" style="2" min="21" max="16384"/>
  </cols>
  <sheetData>
    <row r="1" ht="16.5" customHeight="1" s="2">
      <c r="A1" s="13" t="inlineStr">
        <is>
          <t>二级流程
（场景）</t>
        </is>
      </c>
      <c r="B1" s="13" t="inlineStr">
        <is>
          <t>三级流程
（任务）</t>
        </is>
      </c>
      <c r="C1" s="14" t="inlineStr">
        <is>
          <t>任务名称</t>
        </is>
      </c>
      <c r="D1" s="14" t="inlineStr">
        <is>
          <t>WBS</t>
        </is>
      </c>
      <c r="E1" s="14" t="inlineStr">
        <is>
          <t>说明</t>
        </is>
      </c>
      <c r="F1" s="14" t="inlineStr">
        <is>
          <t>里程碑</t>
        </is>
      </c>
      <c r="G1" s="13" t="inlineStr">
        <is>
          <t>乙方
评审</t>
        </is>
      </c>
      <c r="H1" s="13" t="inlineStr">
        <is>
          <t>甲方
评审</t>
        </is>
      </c>
      <c r="I1" s="13" t="inlineStr">
        <is>
          <t>PMO
监控&amp;评审点</t>
        </is>
      </c>
      <c r="J1" s="15" t="inlineStr">
        <is>
          <t>计划时间</t>
        </is>
      </c>
      <c r="K1" s="121" t="n"/>
      <c r="L1" s="15" t="inlineStr">
        <is>
          <t>工作日</t>
        </is>
      </c>
      <c r="M1" s="15" t="inlineStr">
        <is>
          <t>是否与上个任务为前后置关系</t>
        </is>
      </c>
      <c r="N1" s="15" t="inlineStr">
        <is>
          <t>实际时间</t>
        </is>
      </c>
      <c r="O1" s="121" t="n"/>
      <c r="P1" s="15" t="inlineStr">
        <is>
          <t>工作日</t>
        </is>
      </c>
      <c r="Q1" s="15" t="inlineStr">
        <is>
          <t>执行人</t>
        </is>
      </c>
      <c r="R1" s="121" t="n"/>
      <c r="S1" s="15" t="inlineStr">
        <is>
          <t>进度</t>
        </is>
      </c>
      <c r="T1" s="121" t="n"/>
      <c r="U1" s="15" t="inlineStr">
        <is>
          <t>交付物</t>
        </is>
      </c>
    </row>
    <row r="2" ht="33" customHeight="1" s="2">
      <c r="A2" s="9" t="n"/>
      <c r="B2" s="9" t="n"/>
      <c r="C2" s="9" t="n"/>
      <c r="D2" s="9" t="n"/>
      <c r="E2" s="9" t="n"/>
      <c r="F2" s="9" t="n"/>
      <c r="G2" s="9" t="n"/>
      <c r="H2" s="9" t="n"/>
      <c r="I2" s="9" t="n"/>
      <c r="J2" s="15" t="inlineStr">
        <is>
          <t>计划开始</t>
        </is>
      </c>
      <c r="K2" s="15" t="inlineStr">
        <is>
          <t>计划结束</t>
        </is>
      </c>
      <c r="L2" s="15" t="inlineStr">
        <is>
          <t>计划天数</t>
        </is>
      </c>
      <c r="M2" s="9" t="n"/>
      <c r="N2" s="15" t="inlineStr">
        <is>
          <t>实际开始</t>
        </is>
      </c>
      <c r="O2" s="15" t="inlineStr">
        <is>
          <t>实际完成</t>
        </is>
      </c>
      <c r="P2" s="15" t="inlineStr">
        <is>
          <t>实际天数</t>
        </is>
      </c>
      <c r="Q2" s="15" t="inlineStr">
        <is>
          <t>主责</t>
        </is>
      </c>
      <c r="R2" s="15" t="inlineStr">
        <is>
          <t>协助或支持</t>
        </is>
      </c>
      <c r="S2" s="15" t="inlineStr">
        <is>
          <t>状态</t>
        </is>
      </c>
      <c r="T2" s="15" t="inlineStr">
        <is>
          <t>进度备注</t>
        </is>
      </c>
      <c r="U2" s="9" t="n"/>
    </row>
    <row r="3">
      <c r="A3" s="17" t="n">
        <v>3.1</v>
      </c>
      <c r="B3" s="17" t="n"/>
      <c r="C3" s="17" t="inlineStr">
        <is>
          <t>系统实现准备</t>
        </is>
      </c>
      <c r="D3" s="17" t="n"/>
      <c r="E3" s="17" t="n"/>
      <c r="F3" s="19" t="n"/>
      <c r="G3" s="20" t="n"/>
      <c r="H3" s="20" t="n"/>
      <c r="I3" s="19" t="n"/>
      <c r="J3" s="42">
        <f>主计划!N45</f>
        <v/>
      </c>
      <c r="K3" s="42">
        <f>主计划!O45</f>
        <v/>
      </c>
      <c r="L3" s="20">
        <f>主计划!P45</f>
        <v/>
      </c>
      <c r="M3" s="20" t="n"/>
      <c r="N3" s="42">
        <f>MIN(N4:N11)</f>
        <v/>
      </c>
      <c r="O3" s="42">
        <f>MAX(O4:O11)</f>
        <v/>
      </c>
      <c r="P3" s="20">
        <f>NETWORKDAYS(N3,O3)</f>
        <v/>
      </c>
      <c r="Q3" s="19" t="inlineStr">
        <is>
          <t>陈本鸿</t>
        </is>
      </c>
      <c r="R3" s="19" t="n"/>
      <c r="S3" s="22">
        <f>IF(COUNTIF(S4:S11,"未完成")=COUNTA(S4:S11),"未完成",IF(COUNTIF(S4:S11,"已完成")=COUNTA(S4:S11),"已完成","进行中"))</f>
        <v/>
      </c>
      <c r="T3" s="19" t="n"/>
      <c r="U3" s="23" t="n"/>
    </row>
    <row r="4">
      <c r="A4" s="24" t="n"/>
      <c r="B4" s="31" t="inlineStr">
        <is>
          <t>3.1.1</t>
        </is>
      </c>
      <c r="C4" s="31" t="inlineStr">
        <is>
          <t>开发设计及工时预估</t>
        </is>
      </c>
      <c r="D4" s="26" t="n"/>
      <c r="E4" s="26" t="n"/>
      <c r="F4" s="28" t="n"/>
      <c r="G4" s="29" t="n"/>
      <c r="H4" s="29" t="n"/>
      <c r="I4" s="32" t="n"/>
      <c r="J4" s="44">
        <f>主计划!N46</f>
        <v/>
      </c>
      <c r="K4" s="44">
        <f>主计划!O46</f>
        <v/>
      </c>
      <c r="L4" s="29">
        <f>主计划!P46</f>
        <v/>
      </c>
      <c r="M4" s="29" t="n"/>
      <c r="N4" s="44">
        <f>MIN(N5:N7)</f>
        <v/>
      </c>
      <c r="O4" s="44">
        <f>MAX(O5:O7)</f>
        <v/>
      </c>
      <c r="P4" s="29">
        <f>NETWORKDAYS(N4,O4)</f>
        <v/>
      </c>
      <c r="Q4" s="28" t="inlineStr">
        <is>
          <t>陈本鸿</t>
        </is>
      </c>
      <c r="R4" s="28" t="n"/>
      <c r="S4" s="32">
        <f>IF(COUNTIF(S5:S7,"未完成")=COUNTA(S5:S7),"未完成",IF(COUNTIF(S5:S7,"已完成")=COUNTA(S5:S7),"已完成","进行中"))</f>
        <v/>
      </c>
      <c r="T4" s="28" t="n"/>
      <c r="U4" s="23" t="n"/>
    </row>
    <row r="5">
      <c r="A5" s="24" t="n"/>
      <c r="B5" s="36" t="n"/>
      <c r="C5" s="36" t="n"/>
      <c r="D5" s="33" t="inlineStr">
        <is>
          <t>开发功能设计</t>
        </is>
      </c>
      <c r="E5" s="33" t="n"/>
      <c r="F5" s="23" t="n"/>
      <c r="G5" s="34" t="n"/>
      <c r="H5" s="34" t="n"/>
      <c r="I5" s="37" t="n"/>
      <c r="J5" s="45">
        <f>J4</f>
        <v/>
      </c>
      <c r="K5" s="45">
        <f>_xlfn.WORKDAY.INTL(J5,L5-1,1,法定节假日!$B$2:$B$67)</f>
        <v/>
      </c>
      <c r="L5" s="34" t="n">
        <v>2</v>
      </c>
      <c r="M5" s="34" t="n"/>
      <c r="N5" s="45" t="n"/>
      <c r="O5" s="45" t="n"/>
      <c r="P5" s="34">
        <f>NETWORKDAYS(N5,O5)</f>
        <v/>
      </c>
      <c r="Q5" s="23" t="n"/>
      <c r="R5" s="23" t="n"/>
      <c r="S5" s="37" t="inlineStr">
        <is>
          <t>未完成</t>
        </is>
      </c>
      <c r="T5" s="23" t="n"/>
      <c r="U5" s="23" t="n"/>
    </row>
    <row r="6" ht="15" customHeight="1" s="2">
      <c r="A6" s="24" t="n"/>
      <c r="B6" s="16" t="n"/>
      <c r="C6" s="16" t="n"/>
      <c r="D6" s="33" t="inlineStr">
        <is>
          <t>功能工时估算</t>
        </is>
      </c>
      <c r="E6" s="33" t="n"/>
      <c r="F6" s="23" t="n"/>
      <c r="G6" s="34" t="n"/>
      <c r="H6" s="34" t="n"/>
      <c r="I6" s="37" t="n"/>
      <c r="J6" s="45">
        <f>_xlfn.WORKDAY.INTL(K5,1,1,法定节假日!$B$2:$B$67)</f>
        <v/>
      </c>
      <c r="K6" s="45">
        <f>_xlfn.WORKDAY.INTL(J6,L6-1,1,法定节假日!$B$2:$B$67)</f>
        <v/>
      </c>
      <c r="L6" s="34" t="n">
        <v>2</v>
      </c>
      <c r="M6" s="34" t="n"/>
      <c r="N6" s="45" t="n"/>
      <c r="O6" s="45" t="n"/>
      <c r="P6" s="34">
        <f>NETWORKDAYS(N6,O6)</f>
        <v/>
      </c>
      <c r="Q6" s="23" t="n"/>
      <c r="R6" s="23" t="n"/>
      <c r="S6" s="37" t="inlineStr">
        <is>
          <t>未完成</t>
        </is>
      </c>
      <c r="T6" s="23" t="n"/>
      <c r="U6" s="23" t="n"/>
    </row>
    <row r="7" ht="15" customHeight="1" s="2">
      <c r="A7" s="24" t="n"/>
      <c r="B7" s="16" t="n"/>
      <c r="C7" s="16" t="n"/>
      <c r="D7" s="33" t="inlineStr">
        <is>
          <t>开发设计评审</t>
        </is>
      </c>
      <c r="E7" s="33" t="n"/>
      <c r="F7" s="23" t="n"/>
      <c r="G7" s="34" t="inlineStr">
        <is>
          <t>√</t>
        </is>
      </c>
      <c r="H7" s="34" t="n"/>
      <c r="I7" s="34" t="inlineStr">
        <is>
          <t>√</t>
        </is>
      </c>
      <c r="J7" s="45">
        <f>_xlfn.WORKDAY.INTL(K6,1,1,法定节假日!$B$2:$B$67)</f>
        <v/>
      </c>
      <c r="K7" s="45">
        <f>_xlfn.WORKDAY.INTL(J7,L7-1,1,法定节假日!$B$2:$B$67)</f>
        <v/>
      </c>
      <c r="L7" s="34">
        <f>L4-SUM(L5:L6)</f>
        <v/>
      </c>
      <c r="M7" s="34" t="n"/>
      <c r="N7" s="45" t="n"/>
      <c r="O7" s="45" t="n"/>
      <c r="P7" s="34">
        <f>NETWORKDAYS(N7,O7)</f>
        <v/>
      </c>
      <c r="Q7" s="23" t="n"/>
      <c r="R7" s="23" t="n"/>
      <c r="S7" s="37" t="inlineStr">
        <is>
          <t>未完成</t>
        </is>
      </c>
      <c r="T7" s="23" t="n"/>
      <c r="U7" s="23" t="n"/>
    </row>
    <row r="8">
      <c r="A8" s="24" t="n"/>
      <c r="B8" s="31" t="inlineStr">
        <is>
          <t>3.1.2</t>
        </is>
      </c>
      <c r="C8" s="31" t="inlineStr">
        <is>
          <t>需求版本及发布计划确认</t>
        </is>
      </c>
      <c r="D8" s="26" t="n"/>
      <c r="E8" s="26" t="n"/>
      <c r="F8" s="28" t="n"/>
      <c r="G8" s="29" t="n"/>
      <c r="H8" s="29" t="n"/>
      <c r="I8" s="32" t="n"/>
      <c r="J8" s="44">
        <f>主计划!N47</f>
        <v/>
      </c>
      <c r="K8" s="44">
        <f>主计划!O47</f>
        <v/>
      </c>
      <c r="L8" s="29">
        <f>主计划!P47</f>
        <v/>
      </c>
      <c r="M8" s="29" t="n"/>
      <c r="N8" s="44">
        <f>MIN(N9:N11)</f>
        <v/>
      </c>
      <c r="O8" s="44">
        <f>MAX(O9:O11)</f>
        <v/>
      </c>
      <c r="P8" s="29">
        <f>NETWORKDAYS(N8,O8)</f>
        <v/>
      </c>
      <c r="Q8" s="28" t="inlineStr">
        <is>
          <t>陈本鸿</t>
        </is>
      </c>
      <c r="R8" s="28" t="n"/>
      <c r="S8" s="32">
        <f>IF(COUNTIF(S9:S11,"未完成")=COUNTA(S9:S11),"未完成",IF(COUNTIF(S9:S11,"已完成")=COUNTA(S9:S11),"已完成","进行中"))</f>
        <v/>
      </c>
      <c r="T8" s="28" t="n"/>
      <c r="U8" s="23" t="n"/>
    </row>
    <row r="9">
      <c r="A9" s="24" t="n"/>
      <c r="B9" s="33" t="n"/>
      <c r="C9" s="36" t="n"/>
      <c r="D9" s="33" t="inlineStr">
        <is>
          <t>需求版本制定与确认</t>
        </is>
      </c>
      <c r="E9" s="33" t="n"/>
      <c r="F9" s="23" t="n"/>
      <c r="G9" s="34" t="n"/>
      <c r="H9" s="34" t="n"/>
      <c r="I9" s="34" t="n"/>
      <c r="J9" s="45">
        <f>J8</f>
        <v/>
      </c>
      <c r="K9" s="45">
        <f>_xlfn.WORKDAY.INTL(J9,L9-1,1,法定节假日!$B$2:$B$67)</f>
        <v/>
      </c>
      <c r="L9" s="34" t="n">
        <v>2</v>
      </c>
      <c r="M9" s="34" t="n"/>
      <c r="N9" s="45" t="n"/>
      <c r="O9" s="45" t="n"/>
      <c r="P9" s="34">
        <f>NETWORKDAYS(N9,O9)</f>
        <v/>
      </c>
      <c r="Q9" s="23" t="n"/>
      <c r="R9" s="23" t="n"/>
      <c r="S9" s="37" t="inlineStr">
        <is>
          <t>未完成</t>
        </is>
      </c>
      <c r="T9" s="23" t="n"/>
      <c r="U9" s="23" t="n"/>
    </row>
    <row r="10" ht="15" customHeight="1" s="2">
      <c r="A10" s="24" t="n"/>
      <c r="B10" s="16" t="n"/>
      <c r="C10" s="16" t="n"/>
      <c r="D10" s="33" t="inlineStr">
        <is>
          <t>发布计划制定与确认</t>
        </is>
      </c>
      <c r="E10" s="33" t="n"/>
      <c r="F10" s="23" t="n"/>
      <c r="G10" s="34" t="inlineStr">
        <is>
          <t>√</t>
        </is>
      </c>
      <c r="H10" s="34" t="inlineStr">
        <is>
          <t>√</t>
        </is>
      </c>
      <c r="I10" s="34" t="inlineStr">
        <is>
          <t>√</t>
        </is>
      </c>
      <c r="J10" s="45">
        <f>_xlfn.WORKDAY.INTL(K9,1,1,法定节假日!$B$2:$B$67)</f>
        <v/>
      </c>
      <c r="K10" s="45">
        <f>_xlfn.WORKDAY.INTL(J10,L10-1,1,法定节假日!$B$2:$B$67)</f>
        <v/>
      </c>
      <c r="L10" s="34" t="n">
        <v>2</v>
      </c>
      <c r="M10" s="34" t="n"/>
      <c r="N10" s="45" t="n"/>
      <c r="O10" s="45" t="n"/>
      <c r="P10" s="34">
        <f>NETWORKDAYS(N10,O10)</f>
        <v/>
      </c>
      <c r="Q10" s="23" t="n"/>
      <c r="R10" s="23" t="n"/>
      <c r="S10" s="37" t="inlineStr">
        <is>
          <t>未完成</t>
        </is>
      </c>
      <c r="T10" s="23" t="n"/>
      <c r="U10" s="23" t="n"/>
    </row>
    <row r="11" ht="15" customHeight="1" s="2">
      <c r="A11" s="24" t="n"/>
      <c r="B11" s="16" t="n"/>
      <c r="C11" s="16" t="n"/>
      <c r="D11" s="33" t="inlineStr">
        <is>
          <t>禅道需求和任务创建</t>
        </is>
      </c>
      <c r="E11" s="33" t="n"/>
      <c r="F11" s="23" t="n"/>
      <c r="G11" s="34" t="n"/>
      <c r="H11" s="34" t="n"/>
      <c r="I11" s="34" t="inlineStr">
        <is>
          <t>√</t>
        </is>
      </c>
      <c r="J11" s="45">
        <f>_xlfn.WORKDAY.INTL(K10,1,1,法定节假日!$B$2:$B$67)</f>
        <v/>
      </c>
      <c r="K11" s="45">
        <f>_xlfn.WORKDAY.INTL(J11,L11-1,1,法定节假日!$B$2:$B$67)</f>
        <v/>
      </c>
      <c r="L11" s="34">
        <f>L8-SUM(L9:L10)</f>
        <v/>
      </c>
      <c r="M11" s="34" t="n"/>
      <c r="N11" s="45" t="n"/>
      <c r="O11" s="45" t="n"/>
      <c r="P11" s="34">
        <f>NETWORKDAYS(N11,O11)</f>
        <v/>
      </c>
      <c r="Q11" s="23" t="n"/>
      <c r="R11" s="23" t="n"/>
      <c r="S11" s="37" t="inlineStr">
        <is>
          <t>未完成</t>
        </is>
      </c>
      <c r="T11" s="23" t="n"/>
      <c r="U11" s="23" t="n"/>
    </row>
    <row r="12">
      <c r="A12" s="17" t="n">
        <v>3.2</v>
      </c>
      <c r="B12" s="17" t="n"/>
      <c r="C12" s="17" t="inlineStr">
        <is>
          <t>版本开发与用户测试</t>
        </is>
      </c>
      <c r="D12" s="17" t="n"/>
      <c r="E12" s="17" t="n"/>
      <c r="F12" s="19" t="n"/>
      <c r="G12" s="20" t="n"/>
      <c r="H12" s="20" t="n"/>
      <c r="I12" s="19" t="n"/>
      <c r="J12" s="42">
        <f>主计划!N48</f>
        <v/>
      </c>
      <c r="K12" s="42">
        <f>主计划!O48</f>
        <v/>
      </c>
      <c r="L12" s="20">
        <f>主计划!P48</f>
        <v/>
      </c>
      <c r="M12" s="20" t="n"/>
      <c r="N12" s="42">
        <f>MIN(N13:N24)</f>
        <v/>
      </c>
      <c r="O12" s="42">
        <f>MAX(O13:O24)</f>
        <v/>
      </c>
      <c r="P12" s="20">
        <f>NETWORKDAYS(N12,O12)</f>
        <v/>
      </c>
      <c r="Q12" s="19" t="inlineStr">
        <is>
          <t>陈本鸿</t>
        </is>
      </c>
      <c r="R12" s="19" t="n"/>
      <c r="S12" s="22">
        <f>IF(COUNTIF(S13:S24,"未完成")=COUNTA(S13:S24),"未完成",IF(COUNTIF(S13:S24,"已完成")=COUNTA(S13:S24),"已完成","进行中"))</f>
        <v/>
      </c>
      <c r="T12" s="19" t="n"/>
      <c r="U12" s="23" t="n"/>
    </row>
    <row r="13" ht="16.5" customHeight="1" s="2">
      <c r="A13" s="24" t="n"/>
      <c r="B13" s="31" t="inlineStr">
        <is>
          <t>3.2.1</t>
        </is>
      </c>
      <c r="C13" s="31" t="inlineStr">
        <is>
          <t>开发测试数据准备</t>
        </is>
      </c>
      <c r="D13" s="26" t="n"/>
      <c r="E13" s="26" t="n"/>
      <c r="F13" s="28" t="n"/>
      <c r="G13" s="29" t="n"/>
      <c r="H13" s="29" t="n"/>
      <c r="I13" s="32" t="n"/>
      <c r="J13" s="44">
        <f>主计划!N49</f>
        <v/>
      </c>
      <c r="K13" s="44">
        <f>主计划!O49</f>
        <v/>
      </c>
      <c r="L13" s="29">
        <f>主计划!P49</f>
        <v/>
      </c>
      <c r="M13" s="29" t="n"/>
      <c r="N13" s="44">
        <f>MIN(N14:N16)</f>
        <v/>
      </c>
      <c r="O13" s="44">
        <f>MAX(O14:O16)</f>
        <v/>
      </c>
      <c r="P13" s="29">
        <f>NETWORKDAYS(N13,O13)</f>
        <v/>
      </c>
      <c r="Q13" s="28" t="inlineStr">
        <is>
          <t>宋沛霖</t>
        </is>
      </c>
      <c r="R13" s="28" t="n"/>
      <c r="S13" s="32">
        <f>IF(COUNTIF(S14:S16,"未完成")=COUNTA(S14:S16),"未完成",IF(COUNTIF(S14:S16,"已完成")=COUNTA(S14:S16),"已完成","进行中"))</f>
        <v/>
      </c>
      <c r="T13" s="28" t="n"/>
      <c r="U13" s="23" t="n"/>
    </row>
    <row r="14" ht="16.5" customHeight="1" s="2">
      <c r="A14" s="24" t="n"/>
      <c r="B14" s="36" t="n"/>
      <c r="C14" s="36" t="n"/>
      <c r="D14" s="33" t="inlineStr">
        <is>
          <t>测试用例制定与确认</t>
        </is>
      </c>
      <c r="E14" s="46" t="n"/>
      <c r="F14" s="23" t="n"/>
      <c r="G14" s="34" t="n"/>
      <c r="H14" s="34" t="n"/>
      <c r="I14" s="23" t="n"/>
      <c r="J14" s="45">
        <f>J13</f>
        <v/>
      </c>
      <c r="K14" s="45">
        <f>_xlfn.WORKDAY.INTL(J14,L14-1,1,法定节假日!$B$2:$B$67)</f>
        <v/>
      </c>
      <c r="L14" s="34" t="n">
        <v>2</v>
      </c>
      <c r="M14" s="34" t="n"/>
      <c r="N14" s="45" t="n"/>
      <c r="O14" s="45" t="n"/>
      <c r="P14" s="34">
        <f>NETWORKDAYS(N14,O14)</f>
        <v/>
      </c>
      <c r="Q14" s="23" t="n"/>
      <c r="R14" s="23" t="n"/>
      <c r="S14" s="37" t="inlineStr">
        <is>
          <t>未完成</t>
        </is>
      </c>
      <c r="T14" s="23" t="n"/>
      <c r="U14" s="23" t="n"/>
    </row>
    <row r="15" ht="16.5" customHeight="1" s="2">
      <c r="A15" s="24" t="n"/>
      <c r="B15" s="16" t="n"/>
      <c r="C15" s="16" t="n"/>
      <c r="D15" s="33" t="inlineStr">
        <is>
          <t>测试数据准备与确认</t>
        </is>
      </c>
      <c r="E15" s="46" t="n"/>
      <c r="F15" s="23" t="n"/>
      <c r="G15" s="34" t="n"/>
      <c r="H15" s="34" t="n"/>
      <c r="I15" s="23" t="n"/>
      <c r="J15" s="45">
        <f>_xlfn.WORKDAY.INTL(K14,1,1,法定节假日!$B$2:$B$67)</f>
        <v/>
      </c>
      <c r="K15" s="45">
        <f>_xlfn.WORKDAY.INTL(J15,L15-1,1,法定节假日!$B$2:$B$67)</f>
        <v/>
      </c>
      <c r="L15" s="34" t="n">
        <v>2</v>
      </c>
      <c r="M15" s="34" t="n"/>
      <c r="N15" s="45" t="n"/>
      <c r="O15" s="45" t="n"/>
      <c r="P15" s="34">
        <f>NETWORKDAYS(N15,O15)</f>
        <v/>
      </c>
      <c r="Q15" s="23" t="n"/>
      <c r="R15" s="23" t="n"/>
      <c r="S15" s="37" t="inlineStr">
        <is>
          <t>未完成</t>
        </is>
      </c>
      <c r="T15" s="23" t="n"/>
      <c r="U15" s="23" t="n"/>
    </row>
    <row r="16" ht="16.5" customHeight="1" s="2">
      <c r="A16" s="24" t="n"/>
      <c r="B16" s="16" t="n"/>
      <c r="C16" s="16" t="n"/>
      <c r="D16" s="33" t="inlineStr">
        <is>
          <t>接口postman联调</t>
        </is>
      </c>
      <c r="E16" s="46" t="n"/>
      <c r="F16" s="23" t="n"/>
      <c r="G16" s="34" t="n"/>
      <c r="H16" s="34" t="n"/>
      <c r="I16" s="23" t="n"/>
      <c r="J16" s="45">
        <f>_xlfn.WORKDAY.INTL(K15,1,1,法定节假日!$B$2:$B$67)</f>
        <v/>
      </c>
      <c r="K16" s="45">
        <f>_xlfn.WORKDAY.INTL(J16,L16-1,1,法定节假日!$B$2:$B$67)</f>
        <v/>
      </c>
      <c r="L16" s="34">
        <f>L13-SUM(L14:L15)</f>
        <v/>
      </c>
      <c r="M16" s="34" t="n"/>
      <c r="N16" s="45" t="n"/>
      <c r="O16" s="45" t="n"/>
      <c r="P16" s="34">
        <f>NETWORKDAYS(N16,O16)</f>
        <v/>
      </c>
      <c r="Q16" s="23" t="n"/>
      <c r="R16" s="23" t="n"/>
      <c r="S16" s="37" t="inlineStr">
        <is>
          <t>未完成</t>
        </is>
      </c>
      <c r="T16" s="23" t="n"/>
      <c r="U16" s="23" t="n"/>
    </row>
    <row r="17" ht="16.5" customHeight="1" s="2">
      <c r="A17" s="24" t="n"/>
      <c r="B17" s="31" t="inlineStr">
        <is>
          <t>3.2.2</t>
        </is>
      </c>
      <c r="C17" s="31" t="inlineStr">
        <is>
          <t>开发实现与测试确认</t>
        </is>
      </c>
      <c r="D17" s="26" t="n"/>
      <c r="E17" s="26" t="n"/>
      <c r="F17" s="28" t="n"/>
      <c r="G17" s="29" t="n"/>
      <c r="H17" s="29" t="n"/>
      <c r="I17" s="32" t="n"/>
      <c r="J17" s="44">
        <f>主计划!N50</f>
        <v/>
      </c>
      <c r="K17" s="44">
        <f>主计划!O50</f>
        <v/>
      </c>
      <c r="L17" s="29">
        <f>主计划!P50</f>
        <v/>
      </c>
      <c r="M17" s="29" t="n"/>
      <c r="N17" s="44">
        <f>MIN(N18:N18)</f>
        <v/>
      </c>
      <c r="O17" s="44">
        <f>MAX(O18:O18)</f>
        <v/>
      </c>
      <c r="P17" s="29">
        <f>NETWORKDAYS(N17,O17)</f>
        <v/>
      </c>
      <c r="Q17" s="28" t="inlineStr">
        <is>
          <t>陈本鸿</t>
        </is>
      </c>
      <c r="R17" s="28" t="n"/>
      <c r="S17" s="32">
        <f>IF(COUNTIF(S18:S18,"未完成")=COUNTA(S18:S18),"未完成",IF(COUNTIF(S18:S18,"已完成")=COUNTA(S18:S18),"已完成","进行中"))</f>
        <v/>
      </c>
      <c r="T17" s="28" t="n"/>
      <c r="U17" s="23" t="n"/>
    </row>
    <row r="18" ht="16.5" customHeight="1" s="2">
      <c r="A18" s="24" t="n"/>
      <c r="B18" s="36" t="n"/>
      <c r="C18" s="36" t="n"/>
      <c r="D18" s="33" t="inlineStr">
        <is>
          <t>开发实现与测试确认</t>
        </is>
      </c>
      <c r="E18" s="46" t="n"/>
      <c r="F18" s="23" t="n"/>
      <c r="G18" s="34" t="n"/>
      <c r="H18" s="34" t="n"/>
      <c r="I18" s="23" t="n"/>
      <c r="J18" s="45">
        <f>J17</f>
        <v/>
      </c>
      <c r="K18" s="45">
        <f>_xlfn.WORKDAY.INTL(J18,L18-1,1,法定节假日!$B$2:$B$67)</f>
        <v/>
      </c>
      <c r="L18" s="34">
        <f>L17</f>
        <v/>
      </c>
      <c r="M18" s="34" t="n"/>
      <c r="N18" s="45" t="n"/>
      <c r="O18" s="45" t="n"/>
      <c r="P18" s="34">
        <f>NETWORKDAYS(N18,O18)</f>
        <v/>
      </c>
      <c r="Q18" s="23" t="n"/>
      <c r="R18" s="23" t="n"/>
      <c r="S18" s="37" t="inlineStr">
        <is>
          <t>未完成</t>
        </is>
      </c>
      <c r="T18" s="23" t="n"/>
      <c r="U18" s="23" t="n"/>
    </row>
    <row r="19" ht="16.5" customHeight="1" s="2">
      <c r="A19" s="24" t="n"/>
      <c r="B19" s="31" t="inlineStr">
        <is>
          <t>3.2.3</t>
        </is>
      </c>
      <c r="C19" s="31" t="inlineStr">
        <is>
          <t>顾问单元测试与确认</t>
        </is>
      </c>
      <c r="D19" s="26" t="n"/>
      <c r="E19" s="26" t="n"/>
      <c r="F19" s="28" t="n"/>
      <c r="G19" s="29" t="n"/>
      <c r="H19" s="29" t="n"/>
      <c r="I19" s="32" t="n"/>
      <c r="J19" s="44">
        <f>主计划!N53</f>
        <v/>
      </c>
      <c r="K19" s="44">
        <f>主计划!O53</f>
        <v/>
      </c>
      <c r="L19" s="29">
        <f>主计划!P53</f>
        <v/>
      </c>
      <c r="M19" s="29" t="n"/>
      <c r="N19" s="44">
        <f>MIN(N20:N20)</f>
        <v/>
      </c>
      <c r="O19" s="44">
        <f>MAX(O20:O20)</f>
        <v/>
      </c>
      <c r="P19" s="29">
        <f>NETWORKDAYS(N19,O19)</f>
        <v/>
      </c>
      <c r="Q19" s="28" t="inlineStr">
        <is>
          <t>陈本鸿</t>
        </is>
      </c>
      <c r="R19" s="28" t="n"/>
      <c r="S19" s="32">
        <f>IF(COUNTIF(S20:S20,"未完成")=COUNTA(S20:S20),"未完成",IF(COUNTIF(S20:S20,"已完成")=COUNTA(S20:S20),"已完成","进行中"))</f>
        <v/>
      </c>
      <c r="T19" s="28" t="n"/>
      <c r="U19" s="23" t="n"/>
    </row>
    <row r="20" ht="16.5" customHeight="1" s="2">
      <c r="A20" s="24" t="n"/>
      <c r="B20" s="36" t="n"/>
      <c r="C20" s="36" t="n"/>
      <c r="D20" s="33" t="inlineStr">
        <is>
          <t>顾问单元测试与确认</t>
        </is>
      </c>
      <c r="E20" s="46" t="n"/>
      <c r="F20" s="23" t="n"/>
      <c r="G20" s="34" t="n"/>
      <c r="H20" s="34" t="n"/>
      <c r="I20" s="23" t="n"/>
      <c r="J20" s="45">
        <f>J19</f>
        <v/>
      </c>
      <c r="K20" s="45">
        <f>_xlfn.WORKDAY.INTL(J20,L20-1,1,法定节假日!$B$2:$B$67)</f>
        <v/>
      </c>
      <c r="L20" s="34">
        <f>L19</f>
        <v/>
      </c>
      <c r="M20" s="34" t="n"/>
      <c r="N20" s="45" t="n"/>
      <c r="O20" s="45" t="n"/>
      <c r="P20" s="34">
        <f>NETWORKDAYS(N20,O20)</f>
        <v/>
      </c>
      <c r="Q20" s="23" t="n"/>
      <c r="R20" s="23" t="n"/>
      <c r="S20" s="37" t="inlineStr">
        <is>
          <t>未完成</t>
        </is>
      </c>
      <c r="T20" s="23" t="n"/>
      <c r="U20" s="23" t="n"/>
    </row>
    <row r="21" ht="16.5" customHeight="1" s="2">
      <c r="A21" s="24" t="n"/>
      <c r="B21" s="31" t="inlineStr">
        <is>
          <t>3.2.4</t>
        </is>
      </c>
      <c r="C21" s="31" t="inlineStr">
        <is>
          <t>用户单元测试与确认</t>
        </is>
      </c>
      <c r="D21" s="26" t="n"/>
      <c r="E21" s="26" t="n"/>
      <c r="F21" s="28" t="n"/>
      <c r="G21" s="29" t="n"/>
      <c r="H21" s="29" t="n"/>
      <c r="I21" s="32" t="n"/>
      <c r="J21" s="44">
        <f>主计划!N54</f>
        <v/>
      </c>
      <c r="K21" s="44">
        <f>主计划!O54</f>
        <v/>
      </c>
      <c r="L21" s="29">
        <f>主计划!P54</f>
        <v/>
      </c>
      <c r="M21" s="29" t="n"/>
      <c r="N21" s="44">
        <f>MIN(N22:N24)</f>
        <v/>
      </c>
      <c r="O21" s="44">
        <f>MAX(O22:O24)</f>
        <v/>
      </c>
      <c r="P21" s="29">
        <f>NETWORKDAYS(N21,O21)</f>
        <v/>
      </c>
      <c r="Q21" s="28" t="inlineStr">
        <is>
          <t>陈本鸿</t>
        </is>
      </c>
      <c r="R21" s="28" t="n"/>
      <c r="S21" s="32">
        <f>IF(COUNTIF(S22:S24,"未完成")=COUNTA(S22:S24),"未完成",IF(COUNTIF(S22:S24,"已完成")=COUNTA(S22:S24),"已完成","进行中"))</f>
        <v/>
      </c>
      <c r="T21" s="28" t="n"/>
      <c r="U21" s="23" t="n"/>
    </row>
    <row r="22" ht="16.5" customHeight="1" s="2">
      <c r="A22" s="24" t="n"/>
      <c r="B22" s="36" t="n"/>
      <c r="C22" s="36" t="n"/>
      <c r="D22" s="33" t="inlineStr">
        <is>
          <t>功能部署与配置</t>
        </is>
      </c>
      <c r="E22" s="46" t="n"/>
      <c r="F22" s="23" t="n"/>
      <c r="G22" s="34" t="n"/>
      <c r="H22" s="34" t="n"/>
      <c r="I22" s="23" t="n"/>
      <c r="J22" s="45">
        <f>J21</f>
        <v/>
      </c>
      <c r="K22" s="45">
        <f>_xlfn.WORKDAY.INTL(J22,L22-1,1,法定节假日!$B$2:$B$67)</f>
        <v/>
      </c>
      <c r="L22" s="34" t="n">
        <v>9</v>
      </c>
      <c r="M22" s="34" t="n"/>
      <c r="N22" s="45" t="n"/>
      <c r="O22" s="45" t="n"/>
      <c r="P22" s="34">
        <f>NETWORKDAYS(N22,O22)</f>
        <v/>
      </c>
      <c r="Q22" s="23" t="n"/>
      <c r="R22" s="23" t="n"/>
      <c r="S22" s="37" t="inlineStr">
        <is>
          <t>未完成</t>
        </is>
      </c>
      <c r="T22" s="23" t="n"/>
      <c r="U22" s="23" t="n"/>
    </row>
    <row r="23" ht="16.5" customHeight="1" s="2">
      <c r="A23" s="24" t="n"/>
      <c r="B23" s="16" t="n"/>
      <c r="C23" s="16" t="n"/>
      <c r="D23" s="33" t="inlineStr">
        <is>
          <t>组织用户培训与确认</t>
        </is>
      </c>
      <c r="E23" s="46" t="n"/>
      <c r="F23" s="23" t="n"/>
      <c r="G23" s="34" t="n"/>
      <c r="H23" s="34" t="n"/>
      <c r="I23" s="23" t="n"/>
      <c r="J23" s="45">
        <f>_xlfn.WORKDAY.INTL(K22,1,1,法定节假日!$B$2:$B$67)</f>
        <v/>
      </c>
      <c r="K23" s="45">
        <f>_xlfn.WORKDAY.INTL(J23,L23-1,1,法定节假日!$B$2:$B$67)</f>
        <v/>
      </c>
      <c r="L23" s="34" t="n">
        <v>5</v>
      </c>
      <c r="M23" s="34" t="n"/>
      <c r="N23" s="45" t="n"/>
      <c r="O23" s="45" t="n"/>
      <c r="P23" s="34">
        <f>NETWORKDAYS(N23,O23)</f>
        <v/>
      </c>
      <c r="Q23" s="23" t="n"/>
      <c r="R23" s="23" t="n"/>
      <c r="S23" s="37" t="inlineStr">
        <is>
          <t>未完成</t>
        </is>
      </c>
      <c r="T23" s="23" t="n"/>
      <c r="U23" s="23" t="n"/>
    </row>
    <row r="24" ht="16.5" customHeight="1" s="2">
      <c r="A24" s="24" t="n"/>
      <c r="B24" s="16" t="n"/>
      <c r="C24" s="16" t="n"/>
      <c r="D24" s="33" t="inlineStr">
        <is>
          <t>用户单元测试与确认</t>
        </is>
      </c>
      <c r="E24" s="46" t="n"/>
      <c r="F24" s="23" t="n"/>
      <c r="G24" s="34" t="n"/>
      <c r="H24" s="34" t="n"/>
      <c r="I24" s="23" t="n"/>
      <c r="J24" s="45">
        <f>_xlfn.WORKDAY.INTL(K23,1,1,法定节假日!$B$2:$B$67)</f>
        <v/>
      </c>
      <c r="K24" s="45">
        <f>_xlfn.WORKDAY.INTL(J24,L24-1,1,法定节假日!$B$2:$B$67)</f>
        <v/>
      </c>
      <c r="L24" s="34">
        <f>L21-SUM(L22:L23)</f>
        <v/>
      </c>
      <c r="M24" s="34" t="n"/>
      <c r="N24" s="45" t="n"/>
      <c r="O24" s="45" t="n"/>
      <c r="P24" s="34">
        <f>NETWORKDAYS(N24,O24)</f>
        <v/>
      </c>
      <c r="Q24" s="23" t="n"/>
      <c r="R24" s="23" t="n"/>
      <c r="S24" s="37" t="inlineStr">
        <is>
          <t>未完成</t>
        </is>
      </c>
      <c r="T24" s="23" t="n"/>
      <c r="U24" s="23" t="n"/>
    </row>
    <row r="25">
      <c r="A25" s="17" t="n">
        <v>3.3</v>
      </c>
      <c r="B25" s="17" t="n"/>
      <c r="C25" s="17" t="inlineStr">
        <is>
          <t>用户集成测试</t>
        </is>
      </c>
      <c r="D25" s="17" t="n"/>
      <c r="E25" s="17" t="n"/>
      <c r="F25" s="17" t="n"/>
      <c r="G25" s="17" t="n"/>
      <c r="H25" s="17" t="n"/>
      <c r="I25" s="17" t="n"/>
      <c r="J25" s="42">
        <f>主计划!N55</f>
        <v/>
      </c>
      <c r="K25" s="42">
        <f>主计划!O55</f>
        <v/>
      </c>
      <c r="L25" s="20">
        <f>主计划!P55</f>
        <v/>
      </c>
      <c r="M25" s="20" t="n"/>
      <c r="N25" s="42">
        <f>MIN(N26:N43)</f>
        <v/>
      </c>
      <c r="O25" s="42">
        <f>MAX(O26:O43)</f>
        <v/>
      </c>
      <c r="P25" s="20">
        <f>NETWORKDAYS(N25,O25)</f>
        <v/>
      </c>
      <c r="Q25" s="17" t="inlineStr">
        <is>
          <t>陈本鸿</t>
        </is>
      </c>
      <c r="R25" s="17" t="n"/>
      <c r="S25" s="22">
        <f>IF(COUNTIF(S26:S43,"未完成")=COUNTA(S26:S43),"未完成",IF(COUNTIF(S26:S43,"已完成")=COUNTA(S26:S43),"已完成","进行中"))</f>
        <v/>
      </c>
      <c r="T25" s="17" t="n"/>
      <c r="U25" s="23" t="n"/>
    </row>
    <row r="26" ht="16.5" customHeight="1" s="2">
      <c r="A26" s="24" t="n"/>
      <c r="B26" s="31" t="inlineStr">
        <is>
          <t>3.3.1</t>
        </is>
      </c>
      <c r="C26" s="31" t="inlineStr">
        <is>
          <t>关键用户培训考核</t>
        </is>
      </c>
      <c r="D26" s="26" t="n"/>
      <c r="E26" s="26" t="n"/>
      <c r="F26" s="28" t="n"/>
      <c r="G26" s="29" t="n"/>
      <c r="H26" s="29" t="n"/>
      <c r="I26" s="32" t="n"/>
      <c r="J26" s="44">
        <f>主计划!N56</f>
        <v/>
      </c>
      <c r="K26" s="44">
        <f>主计划!O56</f>
        <v/>
      </c>
      <c r="L26" s="29">
        <f>主计划!P56</f>
        <v/>
      </c>
      <c r="M26" s="29" t="n"/>
      <c r="N26" s="44">
        <f>MIN(N27:N28)</f>
        <v/>
      </c>
      <c r="O26" s="44">
        <f>MAX(O27:O28)</f>
        <v/>
      </c>
      <c r="P26" s="29">
        <f>NETWORKDAYS(N26,O26)</f>
        <v/>
      </c>
      <c r="Q26" s="28" t="inlineStr">
        <is>
          <t>陈本鸿</t>
        </is>
      </c>
      <c r="R26" s="28" t="n"/>
      <c r="S26" s="32">
        <f>IF(COUNTIF(S27:S28,"未完成")=COUNTA(S27:S28),"未完成",IF(COUNTIF(S27:S28,"已完成")=COUNTA(S27:S28),"已完成","进行中"))</f>
        <v/>
      </c>
      <c r="T26" s="28" t="n"/>
      <c r="U26" s="23" t="n"/>
    </row>
    <row r="27" ht="16.5" customHeight="1" s="2">
      <c r="A27" s="24" t="n"/>
      <c r="B27" s="36" t="n"/>
      <c r="C27" s="36" t="n"/>
      <c r="D27" s="33" t="inlineStr">
        <is>
          <t>关键用户培训准备</t>
        </is>
      </c>
      <c r="E27" s="46" t="n"/>
      <c r="F27" s="23" t="n"/>
      <c r="G27" s="34" t="n"/>
      <c r="H27" s="34" t="n"/>
      <c r="I27" s="23" t="n"/>
      <c r="J27" s="45">
        <f>J26</f>
        <v/>
      </c>
      <c r="K27" s="45">
        <f>_xlfn.WORKDAY.INTL(J27,L27-1,1,法定节假日!$B$2:$B$67)</f>
        <v/>
      </c>
      <c r="L27" s="34" t="n">
        <v>1</v>
      </c>
      <c r="M27" s="34" t="n"/>
      <c r="N27" s="45" t="n"/>
      <c r="O27" s="45" t="n"/>
      <c r="P27" s="34">
        <f>NETWORKDAYS(N27,O27)</f>
        <v/>
      </c>
      <c r="Q27" s="23" t="n"/>
      <c r="R27" s="23" t="n"/>
      <c r="S27" s="37" t="inlineStr">
        <is>
          <t>未完成</t>
        </is>
      </c>
      <c r="T27" s="23" t="n"/>
      <c r="U27" s="23" t="n"/>
    </row>
    <row r="28" ht="15" customHeight="1" s="2">
      <c r="A28" s="24" t="n"/>
      <c r="B28" s="16" t="n"/>
      <c r="C28" s="16" t="n"/>
      <c r="D28" s="33" t="inlineStr">
        <is>
          <t>关键用户培训与考核</t>
        </is>
      </c>
      <c r="E28" s="23" t="n"/>
      <c r="F28" s="23" t="n"/>
      <c r="G28" s="34" t="n"/>
      <c r="H28" s="34" t="n"/>
      <c r="I28" s="23" t="n"/>
      <c r="J28" s="45">
        <f>_xlfn.WORKDAY.INTL(K27,1,1,法定节假日!$B$2:$B$67)</f>
        <v/>
      </c>
      <c r="K28" s="45">
        <f>_xlfn.WORKDAY.INTL(J28,L28-1,1,法定节假日!$B$2:$B$67)</f>
        <v/>
      </c>
      <c r="L28" s="34">
        <f>L26-SUM(L27:L27)</f>
        <v/>
      </c>
      <c r="M28" s="34" t="n"/>
      <c r="N28" s="45" t="n"/>
      <c r="O28" s="45" t="n"/>
      <c r="P28" s="34">
        <f>NETWORKDAYS(N28,O28)</f>
        <v/>
      </c>
      <c r="Q28" s="23" t="n"/>
      <c r="R28" s="23" t="n"/>
      <c r="S28" s="37" t="inlineStr">
        <is>
          <t>未完成</t>
        </is>
      </c>
      <c r="T28" s="23" t="n"/>
      <c r="U28" s="23" t="n"/>
    </row>
    <row r="29">
      <c r="A29" s="24" t="n"/>
      <c r="B29" s="31" t="inlineStr">
        <is>
          <t>3.3.2</t>
        </is>
      </c>
      <c r="C29" s="31" t="inlineStr">
        <is>
          <t>业务场景拉通测试</t>
        </is>
      </c>
      <c r="D29" s="26" t="n"/>
      <c r="E29" s="26" t="n"/>
      <c r="F29" s="28" t="n"/>
      <c r="G29" s="29" t="n"/>
      <c r="H29" s="29" t="n"/>
      <c r="I29" s="32" t="n"/>
      <c r="J29" s="44">
        <f>主计划!N57</f>
        <v/>
      </c>
      <c r="K29" s="44">
        <f>主计划!O57</f>
        <v/>
      </c>
      <c r="L29" s="29">
        <f>主计划!P57</f>
        <v/>
      </c>
      <c r="M29" s="29" t="n"/>
      <c r="N29" s="44">
        <f>MIN(N30:N34)</f>
        <v/>
      </c>
      <c r="O29" s="44">
        <f>MAX(O30:O34)</f>
        <v/>
      </c>
      <c r="P29" s="29">
        <f>NETWORKDAYS(N29,O29)</f>
        <v/>
      </c>
      <c r="Q29" s="28" t="inlineStr">
        <is>
          <t>陈本鸿</t>
        </is>
      </c>
      <c r="R29" s="28" t="n"/>
      <c r="S29" s="32">
        <f>IF(COUNTIF(S30:S34,"未完成")=COUNTA(S30:S34),"未完成",IF(COUNTIF(S30:S34,"已完成")=COUNTA(S30:S34),"已完成","进行中"))</f>
        <v/>
      </c>
      <c r="T29" s="28" t="n"/>
      <c r="U29" s="23" t="n"/>
    </row>
    <row r="30">
      <c r="A30" s="24" t="n"/>
      <c r="B30" s="36" t="n"/>
      <c r="C30" s="36" t="n"/>
      <c r="D30" s="33" t="inlineStr">
        <is>
          <t>场景测试计划制定与确认</t>
        </is>
      </c>
      <c r="E30" s="23" t="n"/>
      <c r="F30" s="23" t="n"/>
      <c r="G30" s="34" t="n"/>
      <c r="H30" s="34" t="n"/>
      <c r="I30" s="23" t="n"/>
      <c r="J30" s="45">
        <f>J29</f>
        <v/>
      </c>
      <c r="K30" s="45">
        <f>_xlfn.WORKDAY.INTL(J30,L30-1,1,法定节假日!$B$2:$B$67)</f>
        <v/>
      </c>
      <c r="L30" s="34" t="n">
        <v>12</v>
      </c>
      <c r="M30" s="34" t="n"/>
      <c r="N30" s="45" t="n"/>
      <c r="O30" s="45" t="n"/>
      <c r="P30" s="34">
        <f>NETWORKDAYS(N30,O30)</f>
        <v/>
      </c>
      <c r="Q30" s="23" t="n"/>
      <c r="R30" s="23" t="n"/>
      <c r="S30" s="37" t="inlineStr">
        <is>
          <t>未完成</t>
        </is>
      </c>
      <c r="T30" s="23" t="n"/>
      <c r="U30" s="23" t="n"/>
    </row>
    <row r="31" ht="15" customHeight="1" s="2">
      <c r="A31" s="24" t="n"/>
      <c r="B31" s="16" t="n"/>
      <c r="C31" s="16" t="n"/>
      <c r="D31" s="33" t="inlineStr">
        <is>
          <t>测试用例制定与确认</t>
        </is>
      </c>
      <c r="E31" s="33" t="n"/>
      <c r="F31" s="23" t="n"/>
      <c r="G31" s="34" t="n"/>
      <c r="H31" s="34" t="n"/>
      <c r="I31" s="23" t="n"/>
      <c r="J31" s="45">
        <f>_xlfn.WORKDAY.INTL(K30,1,1,法定节假日!$B$2:$B$67)</f>
        <v/>
      </c>
      <c r="K31" s="45">
        <f>_xlfn.WORKDAY.INTL(J31,L31-1,1,法定节假日!$B$2:$B$67)</f>
        <v/>
      </c>
      <c r="L31" s="34" t="n">
        <v>10</v>
      </c>
      <c r="M31" s="34" t="n"/>
      <c r="N31" s="45" t="n"/>
      <c r="O31" s="45" t="n"/>
      <c r="P31" s="34">
        <f>NETWORKDAYS(N31,O31)</f>
        <v/>
      </c>
      <c r="Q31" s="23" t="n"/>
      <c r="R31" s="23" t="n"/>
      <c r="S31" s="37" t="inlineStr">
        <is>
          <t>未完成</t>
        </is>
      </c>
      <c r="T31" s="23" t="n"/>
      <c r="U31" s="23" t="n"/>
    </row>
    <row r="32" ht="15" customHeight="1" s="2">
      <c r="A32" s="24" t="n"/>
      <c r="B32" s="16" t="n"/>
      <c r="C32" s="16" t="n"/>
      <c r="D32" s="33" t="inlineStr">
        <is>
          <t>测试数据准备与确认</t>
        </is>
      </c>
      <c r="E32" s="33" t="n"/>
      <c r="F32" s="23" t="n"/>
      <c r="G32" s="34" t="n"/>
      <c r="H32" s="34" t="n"/>
      <c r="I32" s="23" t="n"/>
      <c r="J32" s="45">
        <f>_xlfn.WORKDAY.INTL(K31,1,1,法定节假日!$B$2:$B$67)</f>
        <v/>
      </c>
      <c r="K32" s="45">
        <f>_xlfn.WORKDAY.INTL(J32,L32-1,1,法定节假日!$B$2:$B$67)</f>
        <v/>
      </c>
      <c r="L32" s="34" t="n">
        <v>8</v>
      </c>
      <c r="M32" s="34" t="n"/>
      <c r="N32" s="45" t="n"/>
      <c r="O32" s="45" t="n"/>
      <c r="P32" s="34">
        <f>NETWORKDAYS(N32,O32)</f>
        <v/>
      </c>
      <c r="Q32" s="23" t="n"/>
      <c r="R32" s="23" t="n"/>
      <c r="S32" s="37" t="inlineStr">
        <is>
          <t>未完成</t>
        </is>
      </c>
      <c r="T32" s="23" t="n"/>
      <c r="U32" s="23" t="n"/>
    </row>
    <row r="33" ht="16.5" customHeight="1" s="2">
      <c r="A33" s="24" t="n"/>
      <c r="B33" s="16" t="n"/>
      <c r="C33" s="16" t="n"/>
      <c r="D33" s="33" t="inlineStr">
        <is>
          <t>系统功能及优化确认</t>
        </is>
      </c>
      <c r="E33" s="46" t="n"/>
      <c r="F33" s="23" t="n"/>
      <c r="G33" s="34" t="n"/>
      <c r="H33" s="34" t="n"/>
      <c r="I33" s="23" t="n"/>
      <c r="J33" s="45">
        <f>_xlfn.WORKDAY.INTL(K32,1,1,法定节假日!$B$2:$B$67)</f>
        <v/>
      </c>
      <c r="K33" s="45">
        <f>_xlfn.WORKDAY.INTL(J33,L33-1,1,法定节假日!$B$2:$B$67)</f>
        <v/>
      </c>
      <c r="L33" s="34" t="n">
        <v>11</v>
      </c>
      <c r="M33" s="34" t="n"/>
      <c r="N33" s="45" t="n"/>
      <c r="O33" s="45" t="n"/>
      <c r="P33" s="34">
        <f>NETWORKDAYS(N33,O33)</f>
        <v/>
      </c>
      <c r="Q33" s="23" t="n"/>
      <c r="R33" s="23" t="n"/>
      <c r="S33" s="37" t="inlineStr">
        <is>
          <t>未完成</t>
        </is>
      </c>
      <c r="T33" s="23" t="n"/>
      <c r="U33" s="23" t="n"/>
    </row>
    <row r="34" ht="16.5" customHeight="1" s="2">
      <c r="A34" s="24" t="n"/>
      <c r="B34" s="16" t="n"/>
      <c r="C34" s="16" t="n"/>
      <c r="D34" s="33" t="inlineStr">
        <is>
          <t>场景测试与报告确认</t>
        </is>
      </c>
      <c r="E34" s="46" t="n"/>
      <c r="F34" s="23" t="n"/>
      <c r="G34" s="34" t="n"/>
      <c r="H34" s="34" t="n"/>
      <c r="I34" s="23" t="n"/>
      <c r="J34" s="45">
        <f>_xlfn.WORKDAY.INTL(K33,1,1,法定节假日!$B$2:$B$67)</f>
        <v/>
      </c>
      <c r="K34" s="45">
        <f>_xlfn.WORKDAY.INTL(J34,L34-1,1,法定节假日!$B$2:$B$67)</f>
        <v/>
      </c>
      <c r="L34" s="34">
        <f>L29-SUM(L30:L33)</f>
        <v/>
      </c>
      <c r="M34" s="34" t="n"/>
      <c r="N34" s="45" t="n"/>
      <c r="O34" s="45" t="n"/>
      <c r="P34" s="34">
        <f>NETWORKDAYS(N34,O34)</f>
        <v/>
      </c>
      <c r="Q34" s="23" t="n"/>
      <c r="R34" s="23" t="n"/>
      <c r="S34" s="37" t="inlineStr">
        <is>
          <t>未完成</t>
        </is>
      </c>
      <c r="T34" s="23" t="n"/>
      <c r="U34" s="23" t="n"/>
    </row>
    <row r="35" ht="16.5" customHeight="1" s="2">
      <c r="A35" s="24" t="n"/>
      <c r="B35" s="31" t="inlineStr">
        <is>
          <t>3.3.3</t>
        </is>
      </c>
      <c r="C35" s="31" t="inlineStr">
        <is>
          <t>系统联调测试（全量）</t>
        </is>
      </c>
      <c r="D35" s="26" t="n"/>
      <c r="E35" s="26" t="n"/>
      <c r="F35" s="28" t="n"/>
      <c r="G35" s="29" t="n"/>
      <c r="H35" s="29" t="n"/>
      <c r="I35" s="32" t="n"/>
      <c r="J35" s="44">
        <f>主计划!N60</f>
        <v/>
      </c>
      <c r="K35" s="44">
        <f>主计划!O60</f>
        <v/>
      </c>
      <c r="L35" s="29">
        <f>主计划!P60</f>
        <v/>
      </c>
      <c r="M35" s="29" t="n"/>
      <c r="N35" s="44">
        <f>MIN(N36:N40)</f>
        <v/>
      </c>
      <c r="O35" s="44">
        <f>MAX(O36:O40)</f>
        <v/>
      </c>
      <c r="P35" s="29">
        <f>NETWORKDAYS(N35,O35)</f>
        <v/>
      </c>
      <c r="Q35" s="28" t="inlineStr">
        <is>
          <t>宋沛霖</t>
        </is>
      </c>
      <c r="R35" s="28" t="n"/>
      <c r="S35" s="32">
        <f>IF(COUNTIF(S36:S40,"未完成")=COUNTA(S36:S40),"未完成",IF(COUNTIF(S36:S40,"已完成")=COUNTA(S36:S40),"已完成","进行中"))</f>
        <v/>
      </c>
      <c r="T35" s="28" t="n"/>
      <c r="U35" s="23" t="n"/>
    </row>
    <row r="36" ht="16.5" customHeight="1" s="2">
      <c r="A36" s="24" t="n"/>
      <c r="B36" s="36" t="n"/>
      <c r="C36" s="36" t="n"/>
      <c r="D36" s="33" t="inlineStr">
        <is>
          <t>联调测试计划制定与确认</t>
        </is>
      </c>
      <c r="E36" s="46" t="n"/>
      <c r="F36" s="23" t="n"/>
      <c r="G36" s="34" t="n"/>
      <c r="H36" s="34" t="n"/>
      <c r="I36" s="23" t="n"/>
      <c r="J36" s="45">
        <f>J35</f>
        <v/>
      </c>
      <c r="K36" s="45">
        <f>_xlfn.WORKDAY.INTL(J36,L36-1,1,法定节假日!$B$2:$B$67)</f>
        <v/>
      </c>
      <c r="L36" s="34" t="n">
        <v>2</v>
      </c>
      <c r="M36" s="34" t="n"/>
      <c r="N36" s="45" t="n"/>
      <c r="O36" s="45" t="n"/>
      <c r="P36" s="34">
        <f>NETWORKDAYS(N36,O36)</f>
        <v/>
      </c>
      <c r="Q36" s="23" t="n"/>
      <c r="R36" s="23" t="n"/>
      <c r="S36" s="37" t="inlineStr">
        <is>
          <t>未完成</t>
        </is>
      </c>
      <c r="T36" s="23" t="n"/>
      <c r="U36" s="23" t="n"/>
    </row>
    <row r="37" ht="16.5" customHeight="1" s="2">
      <c r="A37" s="24" t="n"/>
      <c r="B37" s="16" t="n"/>
      <c r="C37" s="16" t="n"/>
      <c r="D37" s="33" t="inlineStr">
        <is>
          <t>测试用例制定与确认</t>
        </is>
      </c>
      <c r="E37" s="46" t="n"/>
      <c r="F37" s="23" t="n"/>
      <c r="G37" s="34" t="n"/>
      <c r="H37" s="34" t="n"/>
      <c r="I37" s="23" t="n"/>
      <c r="J37" s="45">
        <f>_xlfn.WORKDAY.INTL(K36,1,1,法定节假日!$B$2:$B$67)</f>
        <v/>
      </c>
      <c r="K37" s="45">
        <f>_xlfn.WORKDAY.INTL(J37,L37-1,1,法定节假日!$B$2:$B$67)</f>
        <v/>
      </c>
      <c r="L37" s="34" t="n">
        <v>2</v>
      </c>
      <c r="M37" s="34" t="n"/>
      <c r="N37" s="45" t="n"/>
      <c r="O37" s="45" t="n"/>
      <c r="P37" s="34">
        <f>NETWORKDAYS(N37,O37)</f>
        <v/>
      </c>
      <c r="Q37" s="23" t="n"/>
      <c r="R37" s="23" t="n"/>
      <c r="S37" s="37" t="inlineStr">
        <is>
          <t>未完成</t>
        </is>
      </c>
      <c r="T37" s="23" t="n"/>
      <c r="U37" s="23" t="n"/>
    </row>
    <row r="38" ht="16.5" customHeight="1" s="2">
      <c r="A38" s="24" t="n"/>
      <c r="B38" s="16" t="n"/>
      <c r="C38" s="16" t="n"/>
      <c r="D38" s="33" t="inlineStr">
        <is>
          <t>测试数据准备与确认</t>
        </is>
      </c>
      <c r="E38" s="46" t="n"/>
      <c r="F38" s="23" t="n"/>
      <c r="G38" s="34" t="n"/>
      <c r="H38" s="34" t="n"/>
      <c r="I38" s="23" t="n"/>
      <c r="J38" s="45">
        <f>_xlfn.WORKDAY.INTL(K37,1,1,法定节假日!$B$2:$B$67)</f>
        <v/>
      </c>
      <c r="K38" s="45">
        <f>_xlfn.WORKDAY.INTL(J38,L38-1,1,法定节假日!$B$2:$B$67)</f>
        <v/>
      </c>
      <c r="L38" s="34" t="n">
        <v>2</v>
      </c>
      <c r="M38" s="34" t="n"/>
      <c r="N38" s="45" t="n"/>
      <c r="O38" s="45" t="n"/>
      <c r="P38" s="34">
        <f>NETWORKDAYS(N38,O38)</f>
        <v/>
      </c>
      <c r="Q38" s="23" t="n"/>
      <c r="R38" s="23" t="n"/>
      <c r="S38" s="37" t="inlineStr">
        <is>
          <t>未完成</t>
        </is>
      </c>
      <c r="T38" s="23" t="n"/>
      <c r="U38" s="23" t="n"/>
    </row>
    <row r="39" ht="16.5" customHeight="1" s="2">
      <c r="A39" s="24" t="n"/>
      <c r="B39" s="16" t="n"/>
      <c r="C39" s="16" t="n"/>
      <c r="D39" s="33" t="inlineStr">
        <is>
          <t>系统配置与通讯准备</t>
        </is>
      </c>
      <c r="E39" s="46" t="n"/>
      <c r="F39" s="23" t="n"/>
      <c r="G39" s="34" t="n"/>
      <c r="H39" s="34" t="n"/>
      <c r="I39" s="23" t="n"/>
      <c r="J39" s="45">
        <f>_xlfn.WORKDAY.INTL(K38,1,1,法定节假日!$B$2:$B$67)</f>
        <v/>
      </c>
      <c r="K39" s="45">
        <f>_xlfn.WORKDAY.INTL(J39,L39-1,1,法定节假日!$B$2:$B$67)</f>
        <v/>
      </c>
      <c r="L39" s="34" t="n">
        <v>2</v>
      </c>
      <c r="M39" s="34" t="n"/>
      <c r="N39" s="45" t="n"/>
      <c r="O39" s="45" t="n"/>
      <c r="P39" s="34">
        <f>NETWORKDAYS(N39,O39)</f>
        <v/>
      </c>
      <c r="Q39" s="23" t="n"/>
      <c r="R39" s="23" t="n"/>
      <c r="S39" s="37" t="inlineStr">
        <is>
          <t>未完成</t>
        </is>
      </c>
      <c r="T39" s="23" t="n"/>
      <c r="U39" s="23" t="n"/>
    </row>
    <row r="40" ht="16.5" customHeight="1" s="2">
      <c r="A40" s="24" t="n"/>
      <c r="B40" s="16" t="n"/>
      <c r="C40" s="16" t="n"/>
      <c r="D40" s="33" t="inlineStr">
        <is>
          <t>接口测试与报告确认</t>
        </is>
      </c>
      <c r="E40" s="46" t="n"/>
      <c r="F40" s="23" t="n"/>
      <c r="G40" s="34" t="n"/>
      <c r="H40" s="34" t="n"/>
      <c r="I40" s="23" t="n"/>
      <c r="J40" s="45">
        <f>_xlfn.WORKDAY.INTL(K39,1,1,法定节假日!$B$2:$B$67)</f>
        <v/>
      </c>
      <c r="K40" s="45">
        <f>_xlfn.WORKDAY.INTL(J40,L40-1,1,法定节假日!$B$2:$B$67)</f>
        <v/>
      </c>
      <c r="L40" s="34">
        <f>L35-SUM(L36:L39)</f>
        <v/>
      </c>
      <c r="M40" s="34" t="n"/>
      <c r="N40" s="45" t="n"/>
      <c r="O40" s="45" t="n"/>
      <c r="P40" s="34">
        <f>NETWORKDAYS(N40,O40)</f>
        <v/>
      </c>
      <c r="Q40" s="23" t="n"/>
      <c r="R40" s="23" t="n"/>
      <c r="S40" s="37" t="inlineStr">
        <is>
          <t>未完成</t>
        </is>
      </c>
      <c r="T40" s="23" t="n"/>
      <c r="U40" s="23" t="n"/>
    </row>
    <row r="41" ht="14.25" customHeight="1" s="2">
      <c r="A41" s="24" t="n"/>
      <c r="B41" s="31" t="inlineStr">
        <is>
          <t>3.3.4</t>
        </is>
      </c>
      <c r="C41" s="31" t="inlineStr">
        <is>
          <t>功能交付确认</t>
        </is>
      </c>
      <c r="D41" s="26" t="n"/>
      <c r="E41" s="26" t="n"/>
      <c r="F41" s="28" t="n"/>
      <c r="G41" s="29" t="n"/>
      <c r="H41" s="29" t="n"/>
      <c r="I41" s="32" t="n"/>
      <c r="J41" s="44">
        <f>主计划!N61</f>
        <v/>
      </c>
      <c r="K41" s="44">
        <f>主计划!O61</f>
        <v/>
      </c>
      <c r="L41" s="29">
        <f>主计划!P61</f>
        <v/>
      </c>
      <c r="M41" s="29" t="n"/>
      <c r="N41" s="44">
        <f>MIN(N42:N42)</f>
        <v/>
      </c>
      <c r="O41" s="44">
        <f>MAX(O42:O42)</f>
        <v/>
      </c>
      <c r="P41" s="29">
        <f>NETWORKDAYS(N41,O41)</f>
        <v/>
      </c>
      <c r="Q41" s="28" t="inlineStr">
        <is>
          <t>周年根</t>
        </is>
      </c>
      <c r="R41" s="28" t="n"/>
      <c r="S41" s="32">
        <f>IF(COUNTIF(S42:S42,"未完成")=COUNTA(S42:S42),"未完成",IF(COUNTIF(S42:S42,"已完成")=COUNTA(S42:S42),"已完成","进行中"))</f>
        <v/>
      </c>
      <c r="T41" s="28" t="n"/>
      <c r="U41" s="23" t="n"/>
    </row>
    <row r="42" ht="14.25" customHeight="1" s="2">
      <c r="A42" s="24" t="n"/>
      <c r="B42" s="36" t="n"/>
      <c r="C42" s="36" t="n"/>
      <c r="D42" s="33" t="inlineStr">
        <is>
          <t>功能交付清单确认</t>
        </is>
      </c>
      <c r="E42" s="33" t="n"/>
      <c r="F42" s="34" t="n"/>
      <c r="G42" s="34" t="inlineStr">
        <is>
          <t>√</t>
        </is>
      </c>
      <c r="H42" s="34" t="inlineStr">
        <is>
          <t>√</t>
        </is>
      </c>
      <c r="I42" s="34" t="inlineStr">
        <is>
          <t>√</t>
        </is>
      </c>
      <c r="J42" s="45">
        <f>J41</f>
        <v/>
      </c>
      <c r="K42" s="45">
        <f>_xlfn.WORKDAY.INTL(J42,L42-1,1,法定节假日!$B$2:$B$67)</f>
        <v/>
      </c>
      <c r="L42" s="34">
        <f>L41</f>
        <v/>
      </c>
      <c r="M42" s="34" t="n"/>
      <c r="N42" s="45" t="n"/>
      <c r="O42" s="45" t="n"/>
      <c r="P42" s="34">
        <f>NETWORKDAYS(N42,O42)</f>
        <v/>
      </c>
      <c r="Q42" s="23" t="n"/>
      <c r="R42" s="23" t="n"/>
      <c r="S42" s="37" t="inlineStr">
        <is>
          <t>未完成</t>
        </is>
      </c>
      <c r="T42" s="23" t="n"/>
      <c r="U42" s="23" t="n"/>
    </row>
    <row r="43" ht="14.25" customHeight="1" s="2">
      <c r="A43" s="24" t="n"/>
      <c r="B43" s="31" t="inlineStr">
        <is>
          <t>3.3.5</t>
        </is>
      </c>
      <c r="C43" s="31" t="inlineStr">
        <is>
          <t>UAT系统环境演示评审</t>
        </is>
      </c>
      <c r="D43" s="26" t="n"/>
      <c r="E43" s="26" t="n"/>
      <c r="F43" s="28" t="n"/>
      <c r="G43" s="29" t="n"/>
      <c r="H43" s="29" t="n"/>
      <c r="I43" s="32" t="n"/>
      <c r="J43" s="44">
        <f>主计划!N62</f>
        <v/>
      </c>
      <c r="K43" s="44">
        <f>主计划!O62</f>
        <v/>
      </c>
      <c r="L43" s="29">
        <f>主计划!P62</f>
        <v/>
      </c>
      <c r="M43" s="29" t="n"/>
      <c r="N43" s="44" t="n"/>
      <c r="O43" s="44" t="n"/>
      <c r="P43" s="29">
        <f>NETWORKDAYS(N43,O43)</f>
        <v/>
      </c>
      <c r="Q43" s="28" t="inlineStr">
        <is>
          <t>陈本鸿</t>
        </is>
      </c>
      <c r="R43" s="28" t="n"/>
      <c r="S43" s="32" t="inlineStr">
        <is>
          <t>未完成</t>
        </is>
      </c>
      <c r="T43" s="28" t="n"/>
      <c r="U43" s="24" t="n"/>
    </row>
  </sheetData>
  <mergeCells count="15">
    <mergeCell ref="U1:U2"/>
    <mergeCell ref="Q1:R1"/>
    <mergeCell ref="S1:T1"/>
    <mergeCell ref="J1:K1"/>
    <mergeCell ref="C1:C2"/>
    <mergeCell ref="B1:B2"/>
    <mergeCell ref="D1:D2"/>
    <mergeCell ref="E1:E2"/>
    <mergeCell ref="F1:F2"/>
    <mergeCell ref="I1:I2"/>
    <mergeCell ref="G1:G2"/>
    <mergeCell ref="M1:M2"/>
    <mergeCell ref="N1:O1"/>
    <mergeCell ref="H1:H2"/>
    <mergeCell ref="A1:A2"/>
  </mergeCells>
  <dataValidations count="2">
    <dataValidation sqref="M5:M7 M9:M11 M14:M16 M18 M20 M22:M24 M27:M28 M30:M34 M36:M40 M42" showDropDown="0" showInputMessage="0" showErrorMessage="0" allowBlank="1" type="list">
      <formula1>"是"</formula1>
    </dataValidation>
    <dataValidation sqref="S5:S7 S9:S11 S14:S16 S18 S20 S22:S24 S27:S28 S30:S34 S36:S40 S42" showDropDown="0" showInputMessage="0" showErrorMessage="0" allowBlank="1" type="list">
      <formula1>"未完成,进行中,已完成"</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U51"/>
  <sheetViews>
    <sheetView workbookViewId="0">
      <selection activeCell="E38" sqref="E38"/>
    </sheetView>
  </sheetViews>
  <sheetFormatPr baseColWidth="8" defaultColWidth="8.8359375" defaultRowHeight="14" customHeight="1" outlineLevelCol="0"/>
  <cols>
    <col width="26" customWidth="1" style="1" min="3" max="4"/>
    <col width="18.6640625" customWidth="1" style="1" min="5" max="5"/>
    <col width="8.3359375" customWidth="1" style="1" min="6" max="9"/>
    <col width="10.828125" customWidth="1" style="1" min="10" max="12"/>
    <col width="12.5" customWidth="1" style="1" min="13" max="13"/>
    <col width="10.828125" customWidth="1" style="1" min="14" max="16"/>
    <col width="9" customWidth="1" style="12" min="19" max="19"/>
  </cols>
  <sheetData>
    <row r="1" ht="16.5" customFormat="1" customHeight="1" s="40">
      <c r="A1" s="13" t="inlineStr">
        <is>
          <t>二级流程
（场景）</t>
        </is>
      </c>
      <c r="B1" s="13" t="inlineStr">
        <is>
          <t>三级流程
（任务）</t>
        </is>
      </c>
      <c r="C1" s="14" t="inlineStr">
        <is>
          <t>任务名称</t>
        </is>
      </c>
      <c r="D1" s="14" t="inlineStr">
        <is>
          <t>WBS</t>
        </is>
      </c>
      <c r="E1" s="14" t="inlineStr">
        <is>
          <t>说明</t>
        </is>
      </c>
      <c r="F1" s="14" t="inlineStr">
        <is>
          <t>里程碑</t>
        </is>
      </c>
      <c r="G1" s="13" t="inlineStr">
        <is>
          <t>乙方
评审</t>
        </is>
      </c>
      <c r="H1" s="13" t="inlineStr">
        <is>
          <t>甲方
评审</t>
        </is>
      </c>
      <c r="I1" s="13" t="inlineStr">
        <is>
          <t>PMO
监控&amp;评审点</t>
        </is>
      </c>
      <c r="J1" s="15" t="inlineStr">
        <is>
          <t>计划时间</t>
        </is>
      </c>
      <c r="K1" s="121" t="n"/>
      <c r="L1" s="15" t="inlineStr">
        <is>
          <t>工作日</t>
        </is>
      </c>
      <c r="M1" s="15" t="inlineStr">
        <is>
          <t>是否与上个任务为前后置关系</t>
        </is>
      </c>
      <c r="N1" s="15" t="inlineStr">
        <is>
          <t>实际时间</t>
        </is>
      </c>
      <c r="O1" s="121" t="n"/>
      <c r="P1" s="15" t="inlineStr">
        <is>
          <t>工作日</t>
        </is>
      </c>
      <c r="Q1" s="15" t="inlineStr">
        <is>
          <t>执行人</t>
        </is>
      </c>
      <c r="R1" s="121" t="n"/>
      <c r="S1" s="15" t="inlineStr">
        <is>
          <t>进度</t>
        </is>
      </c>
      <c r="T1" s="121" t="n"/>
      <c r="U1" s="15" t="inlineStr">
        <is>
          <t>交付物</t>
        </is>
      </c>
    </row>
    <row r="2" ht="33" customFormat="1" customHeight="1" s="41">
      <c r="A2" s="9" t="n"/>
      <c r="B2" s="9" t="n"/>
      <c r="C2" s="9" t="n"/>
      <c r="D2" s="9" t="n"/>
      <c r="E2" s="9" t="n"/>
      <c r="F2" s="9" t="n"/>
      <c r="G2" s="9" t="n"/>
      <c r="H2" s="9" t="n"/>
      <c r="I2" s="9" t="n"/>
      <c r="J2" s="15" t="inlineStr">
        <is>
          <t>计划开始</t>
        </is>
      </c>
      <c r="K2" s="15" t="inlineStr">
        <is>
          <t>计划结束</t>
        </is>
      </c>
      <c r="L2" s="15" t="inlineStr">
        <is>
          <t>计划天数</t>
        </is>
      </c>
      <c r="M2" s="9" t="n"/>
      <c r="N2" s="15" t="inlineStr">
        <is>
          <t>实际开始</t>
        </is>
      </c>
      <c r="O2" s="15" t="inlineStr">
        <is>
          <t>实际完成</t>
        </is>
      </c>
      <c r="P2" s="15" t="inlineStr">
        <is>
          <t>实际天数</t>
        </is>
      </c>
      <c r="Q2" s="15" t="inlineStr">
        <is>
          <t>主责</t>
        </is>
      </c>
      <c r="R2" s="15" t="inlineStr">
        <is>
          <t>协助或支持</t>
        </is>
      </c>
      <c r="S2" s="15" t="inlineStr">
        <is>
          <t>状态</t>
        </is>
      </c>
      <c r="T2" s="15" t="inlineStr">
        <is>
          <t>进度备注</t>
        </is>
      </c>
      <c r="U2" s="9" t="n"/>
    </row>
    <row r="3" ht="15" customFormat="1" customHeight="1" s="40">
      <c r="A3" s="17" t="n">
        <v>4.1</v>
      </c>
      <c r="B3" s="17" t="n"/>
      <c r="C3" s="17" t="inlineStr">
        <is>
          <t>UAT/试运行</t>
        </is>
      </c>
      <c r="D3" s="17" t="n"/>
      <c r="E3" s="17" t="n"/>
      <c r="F3" s="19" t="n"/>
      <c r="G3" s="20" t="n"/>
      <c r="H3" s="20" t="n"/>
      <c r="I3" s="19" t="n"/>
      <c r="J3" s="42">
        <f>主计划!N64</f>
        <v/>
      </c>
      <c r="K3" s="42">
        <f>主计划!O64</f>
        <v/>
      </c>
      <c r="L3" s="20">
        <f>主计划!P64</f>
        <v/>
      </c>
      <c r="M3" s="20" t="n"/>
      <c r="N3" s="42">
        <f>MIN(N4:N15)</f>
        <v/>
      </c>
      <c r="O3" s="42">
        <f>MAX(O4:O15)</f>
        <v/>
      </c>
      <c r="P3" s="20">
        <f>NETWORKDAYS(N3,O3)</f>
        <v/>
      </c>
      <c r="Q3" s="19" t="inlineStr">
        <is>
          <t>陈本鸿</t>
        </is>
      </c>
      <c r="R3" s="19" t="n"/>
      <c r="S3" s="22">
        <f>IF(COUNTIF(S4:S15,"未完成")=COUNTA(S4:S15),"未完成",IF(COUNTIF(S4:S15,"已完成")=COUNTA(S4:S15),"已完成","进行中"))</f>
        <v/>
      </c>
      <c r="T3" s="19" t="n"/>
      <c r="U3" s="23" t="n"/>
    </row>
    <row r="4" ht="15" customFormat="1" customHeight="1" s="40">
      <c r="A4" s="24" t="n"/>
      <c r="B4" s="43" t="inlineStr">
        <is>
          <t>4.1.1</t>
        </is>
      </c>
      <c r="C4" s="31" t="inlineStr">
        <is>
          <t>试运行计划制定</t>
        </is>
      </c>
      <c r="D4" s="26" t="n"/>
      <c r="E4" s="26" t="n"/>
      <c r="F4" s="28" t="n"/>
      <c r="G4" s="29" t="n"/>
      <c r="H4" s="29" t="n"/>
      <c r="I4" s="29" t="n"/>
      <c r="J4" s="44">
        <f>主计划!N65</f>
        <v/>
      </c>
      <c r="K4" s="44">
        <f>主计划!O65</f>
        <v/>
      </c>
      <c r="L4" s="29">
        <f>主计划!P65</f>
        <v/>
      </c>
      <c r="M4" s="29" t="n"/>
      <c r="N4" s="44">
        <f>MIN(N5:N5)</f>
        <v/>
      </c>
      <c r="O4" s="44">
        <f>MAX(O5:O5)</f>
        <v/>
      </c>
      <c r="P4" s="29">
        <f>NETWORKDAYS(N4,O4)</f>
        <v/>
      </c>
      <c r="Q4" s="28" t="inlineStr">
        <is>
          <t>陈本鸿</t>
        </is>
      </c>
      <c r="R4" s="28" t="n"/>
      <c r="S4" s="32">
        <f>IF(COUNTIF(S5:S5,"未完成")=COUNTA(S5:S5),"未完成",IF(COUNTIF(S5:S5,"已完成")=COUNTA(S5:S5),"已完成","进行中"))</f>
        <v/>
      </c>
      <c r="T4" s="28" t="n"/>
      <c r="U4" s="23" t="n"/>
    </row>
    <row r="5" ht="15" customFormat="1" customHeight="1" s="40">
      <c r="A5" s="24" t="n"/>
      <c r="B5" s="37" t="n"/>
      <c r="C5" s="36" t="n"/>
      <c r="D5" s="33" t="inlineStr">
        <is>
          <t>试运行计划制定与确认</t>
        </is>
      </c>
      <c r="E5" s="33" t="n"/>
      <c r="F5" s="23" t="n"/>
      <c r="G5" s="34" t="inlineStr">
        <is>
          <t>√</t>
        </is>
      </c>
      <c r="H5" s="34" t="inlineStr">
        <is>
          <t>√</t>
        </is>
      </c>
      <c r="I5" s="34" t="inlineStr">
        <is>
          <t>√</t>
        </is>
      </c>
      <c r="J5" s="45">
        <f>J4</f>
        <v/>
      </c>
      <c r="K5" s="45">
        <f>_xlfn.WORKDAY.INTL(J5,L5-1,1,法定节假日!$B$2:$B$67)</f>
        <v/>
      </c>
      <c r="L5" s="34">
        <f>L4</f>
        <v/>
      </c>
      <c r="M5" s="34" t="n"/>
      <c r="N5" s="45" t="n"/>
      <c r="O5" s="45" t="n"/>
      <c r="P5" s="34">
        <f>NETWORKDAYS(N5,O5)</f>
        <v/>
      </c>
      <c r="Q5" s="23" t="n"/>
      <c r="R5" s="23" t="n"/>
      <c r="S5" s="37" t="inlineStr">
        <is>
          <t>未完成</t>
        </is>
      </c>
      <c r="T5" s="23" t="n"/>
      <c r="U5" s="23" t="n"/>
    </row>
    <row r="6" ht="15" customFormat="1" customHeight="1" s="40">
      <c r="A6" s="24" t="n"/>
      <c r="B6" s="43" t="inlineStr">
        <is>
          <t>4.1.2</t>
        </is>
      </c>
      <c r="C6" s="31" t="inlineStr">
        <is>
          <t>全量数据测试准备</t>
        </is>
      </c>
      <c r="D6" s="26" t="n"/>
      <c r="E6" s="26" t="n"/>
      <c r="F6" s="28" t="n"/>
      <c r="G6" s="29" t="n"/>
      <c r="H6" s="29" t="n"/>
      <c r="I6" s="29" t="n"/>
      <c r="J6" s="44">
        <f>主计划!N66</f>
        <v/>
      </c>
      <c r="K6" s="44">
        <f>主计划!O66</f>
        <v/>
      </c>
      <c r="L6" s="29">
        <f>主计划!P66</f>
        <v/>
      </c>
      <c r="M6" s="29" t="n"/>
      <c r="N6" s="44">
        <f>MIN(N7:N10)</f>
        <v/>
      </c>
      <c r="O6" s="44">
        <f>MAX(O7:O10)</f>
        <v/>
      </c>
      <c r="P6" s="29">
        <f>NETWORKDAYS(N6,O6)</f>
        <v/>
      </c>
      <c r="Q6" s="28" t="inlineStr">
        <is>
          <t>宋沛霖</t>
        </is>
      </c>
      <c r="R6" s="28" t="n"/>
      <c r="S6" s="32">
        <f>IF(COUNTIF(S7:S10,"未完成")=COUNTA(S7:S10),"未完成",IF(COUNTIF(S7:S10,"已完成")=COUNTA(S7:S10),"已完成","进行中"))</f>
        <v/>
      </c>
      <c r="T6" s="28" t="n"/>
      <c r="U6" s="23" t="n"/>
    </row>
    <row r="7" ht="15" customFormat="1" customHeight="1" s="40">
      <c r="A7" s="24" t="n"/>
      <c r="B7" s="37" t="n"/>
      <c r="C7" s="36" t="n"/>
      <c r="D7" s="33" t="inlineStr">
        <is>
          <t>产品与规则系统导入与验证</t>
        </is>
      </c>
      <c r="E7" s="33" t="n"/>
      <c r="F7" s="23" t="n"/>
      <c r="G7" s="34" t="n"/>
      <c r="H7" s="34" t="n"/>
      <c r="I7" s="23" t="n"/>
      <c r="J7" s="45">
        <f>J6</f>
        <v/>
      </c>
      <c r="K7" s="45">
        <f>_xlfn.WORKDAY.INTL(J7,L7-1,1,法定节假日!$B$2:$B$67)</f>
        <v/>
      </c>
      <c r="L7" s="34" t="n">
        <v>1</v>
      </c>
      <c r="M7" s="34" t="n"/>
      <c r="N7" s="45" t="n"/>
      <c r="O7" s="45" t="n"/>
      <c r="P7" s="34">
        <f>NETWORKDAYS(N7,O7)</f>
        <v/>
      </c>
      <c r="Q7" s="23" t="n"/>
      <c r="R7" s="23" t="n"/>
      <c r="S7" s="37" t="inlineStr">
        <is>
          <t>未完成</t>
        </is>
      </c>
      <c r="T7" s="23" t="n"/>
      <c r="U7" s="23" t="n"/>
    </row>
    <row r="8" ht="15" customFormat="1" customHeight="1" s="40">
      <c r="A8" s="24" t="n"/>
      <c r="B8" s="16" t="n"/>
      <c r="C8" s="16" t="n"/>
      <c r="D8" s="33" t="inlineStr">
        <is>
          <t>业务数据全量导入</t>
        </is>
      </c>
      <c r="E8" s="33" t="n"/>
      <c r="F8" s="23" t="n"/>
      <c r="G8" s="34" t="n"/>
      <c r="H8" s="34" t="n"/>
      <c r="I8" s="23" t="n"/>
      <c r="J8" s="45">
        <f>_xlfn.WORKDAY.INTL(K7,1,1,法定节假日!$B$2:$B$67)</f>
        <v/>
      </c>
      <c r="K8" s="45">
        <f>_xlfn.WORKDAY.INTL(J8,L8-1,1,法定节假日!$B$2:$B$67)</f>
        <v/>
      </c>
      <c r="L8" s="34" t="n">
        <v>1</v>
      </c>
      <c r="M8" s="34" t="n"/>
      <c r="N8" s="45" t="n"/>
      <c r="O8" s="45" t="n"/>
      <c r="P8" s="34">
        <f>NETWORKDAYS(N8,O8)</f>
        <v/>
      </c>
      <c r="Q8" s="23" t="n"/>
      <c r="R8" s="23" t="n"/>
      <c r="S8" s="37" t="inlineStr">
        <is>
          <t>未完成</t>
        </is>
      </c>
      <c r="T8" s="23" t="n"/>
      <c r="U8" s="23" t="n"/>
    </row>
    <row r="9" ht="15" customFormat="1" customHeight="1" s="40">
      <c r="A9" s="24" t="n"/>
      <c r="B9" s="16" t="n"/>
      <c r="C9" s="16" t="n"/>
      <c r="D9" s="33" t="inlineStr">
        <is>
          <t>销售数据准备与导入</t>
        </is>
      </c>
      <c r="E9" s="33" t="n"/>
      <c r="F9" s="23" t="n"/>
      <c r="G9" s="34" t="n"/>
      <c r="H9" s="34" t="n"/>
      <c r="I9" s="23" t="n"/>
      <c r="J9" s="45">
        <f>_xlfn.WORKDAY.INTL(K8,1,1,法定节假日!$B$2:$B$67)</f>
        <v/>
      </c>
      <c r="K9" s="45">
        <f>_xlfn.WORKDAY.INTL(J9,L9-1,1,法定节假日!$B$2:$B$67)</f>
        <v/>
      </c>
      <c r="L9" s="34" t="n">
        <v>1</v>
      </c>
      <c r="M9" s="34" t="n"/>
      <c r="N9" s="45" t="n"/>
      <c r="O9" s="45" t="n"/>
      <c r="P9" s="34">
        <f>NETWORKDAYS(N9,O9)</f>
        <v/>
      </c>
      <c r="Q9" s="23" t="n"/>
      <c r="R9" s="23" t="n"/>
      <c r="S9" s="37" t="inlineStr">
        <is>
          <t>未完成</t>
        </is>
      </c>
      <c r="T9" s="23" t="n"/>
      <c r="U9" s="23" t="n"/>
    </row>
    <row r="10" ht="15" customFormat="1" customHeight="1" s="40">
      <c r="A10" s="24" t="n"/>
      <c r="B10" s="16" t="n"/>
      <c r="C10" s="16" t="n"/>
      <c r="D10" s="33" t="inlineStr">
        <is>
          <t>全量系统优化排产验证</t>
        </is>
      </c>
      <c r="E10" s="33" t="n"/>
      <c r="F10" s="23" t="n"/>
      <c r="G10" s="34" t="n"/>
      <c r="H10" s="34" t="n"/>
      <c r="I10" s="23" t="n"/>
      <c r="J10" s="45">
        <f>_xlfn.WORKDAY.INTL(K9,1,1,法定节假日!$B$2:$B$67)</f>
        <v/>
      </c>
      <c r="K10" s="45">
        <f>_xlfn.WORKDAY.INTL(J10,L10-1,1,法定节假日!$B$2:$B$67)</f>
        <v/>
      </c>
      <c r="L10" s="34">
        <f>L6-SUM(L7:L9)</f>
        <v/>
      </c>
      <c r="M10" s="34" t="n"/>
      <c r="N10" s="45" t="n"/>
      <c r="O10" s="45" t="n"/>
      <c r="P10" s="34">
        <f>NETWORKDAYS(N10,O10)</f>
        <v/>
      </c>
      <c r="Q10" s="23" t="n"/>
      <c r="R10" s="23" t="n"/>
      <c r="S10" s="37" t="inlineStr">
        <is>
          <t>未完成</t>
        </is>
      </c>
      <c r="T10" s="23" t="n"/>
      <c r="U10" s="23" t="n"/>
    </row>
    <row r="11" ht="15" customFormat="1" customHeight="1" s="40">
      <c r="A11" s="24" t="n"/>
      <c r="B11" s="43" t="inlineStr">
        <is>
          <t>4.1.3</t>
        </is>
      </c>
      <c r="C11" s="31" t="inlineStr">
        <is>
          <t>系统试运行及确认</t>
        </is>
      </c>
      <c r="D11" s="26" t="n"/>
      <c r="E11" s="26" t="n"/>
      <c r="F11" s="28" t="n"/>
      <c r="G11" s="29" t="n"/>
      <c r="H11" s="29" t="n"/>
      <c r="I11" s="29" t="n"/>
      <c r="J11" s="44">
        <f>主计划!N67</f>
        <v/>
      </c>
      <c r="K11" s="44">
        <f>主计划!O67</f>
        <v/>
      </c>
      <c r="L11" s="29">
        <f>主计划!P67</f>
        <v/>
      </c>
      <c r="M11" s="29" t="n"/>
      <c r="N11" s="44">
        <f>MIN(N12:N13)</f>
        <v/>
      </c>
      <c r="O11" s="44">
        <f>MAX(O12:O13)</f>
        <v/>
      </c>
      <c r="P11" s="29">
        <f>NETWORKDAYS(N11,O11)</f>
        <v/>
      </c>
      <c r="Q11" s="28" t="inlineStr">
        <is>
          <t>陈本鸿</t>
        </is>
      </c>
      <c r="R11" s="28" t="n"/>
      <c r="S11" s="32">
        <f>IF(COUNTIF(S12:S13,"未完成")=COUNTA(S12:S13),"未完成",IF(COUNTIF(S12:S13,"已完成")=COUNTA(S12:S13),"已完成","进行中"))</f>
        <v/>
      </c>
      <c r="T11" s="28" t="n"/>
      <c r="U11" s="23" t="n"/>
    </row>
    <row r="12" ht="15" customFormat="1" customHeight="1" s="40">
      <c r="A12" s="24" t="n"/>
      <c r="B12" s="37" t="n"/>
      <c r="C12" s="36" t="n"/>
      <c r="D12" s="33" t="inlineStr">
        <is>
          <t>各计划结果合理性确认</t>
        </is>
      </c>
      <c r="E12" s="33" t="n"/>
      <c r="F12" s="23" t="n"/>
      <c r="G12" s="34" t="n"/>
      <c r="H12" s="34" t="n"/>
      <c r="I12" s="23" t="n"/>
      <c r="J12" s="45">
        <f>J11</f>
        <v/>
      </c>
      <c r="K12" s="45">
        <f>_xlfn.WORKDAY.INTL(J12,L12-1,1,法定节假日!$B$2:$B$67)</f>
        <v/>
      </c>
      <c r="L12" s="34" t="n">
        <v>70</v>
      </c>
      <c r="M12" s="34" t="n"/>
      <c r="N12" s="45" t="n"/>
      <c r="O12" s="45" t="n"/>
      <c r="P12" s="34">
        <f>NETWORKDAYS(N12,O12)</f>
        <v/>
      </c>
      <c r="Q12" s="23" t="n"/>
      <c r="R12" s="23" t="n"/>
      <c r="S12" s="37" t="inlineStr">
        <is>
          <t>未完成</t>
        </is>
      </c>
      <c r="T12" s="23" t="n"/>
      <c r="U12" s="23" t="n"/>
    </row>
    <row r="13" ht="15" customFormat="1" customHeight="1" s="40">
      <c r="A13" s="24" t="n"/>
      <c r="B13" s="16" t="n"/>
      <c r="C13" s="16" t="n"/>
      <c r="D13" s="33" t="inlineStr">
        <is>
          <t>试运行报告签字确认</t>
        </is>
      </c>
      <c r="E13" s="33" t="n"/>
      <c r="F13" s="23" t="n"/>
      <c r="G13" s="34" t="n"/>
      <c r="H13" s="34" t="inlineStr">
        <is>
          <t>√</t>
        </is>
      </c>
      <c r="I13" s="34" t="inlineStr">
        <is>
          <t>√</t>
        </is>
      </c>
      <c r="J13" s="45">
        <f>_xlfn.WORKDAY.INTL(K12,1,1,法定节假日!$B$2:$B$67)</f>
        <v/>
      </c>
      <c r="K13" s="45">
        <f>_xlfn.WORKDAY.INTL(J13,L13-1,1,法定节假日!$B$2:$B$67)</f>
        <v/>
      </c>
      <c r="L13" s="34">
        <f>L11-SUM(L12:L12)</f>
        <v/>
      </c>
      <c r="M13" s="34" t="n"/>
      <c r="N13" s="45" t="n"/>
      <c r="O13" s="45" t="n"/>
      <c r="P13" s="34">
        <f>NETWORKDAYS(N13,O13)</f>
        <v/>
      </c>
      <c r="Q13" s="23" t="n"/>
      <c r="R13" s="23" t="n"/>
      <c r="S13" s="37" t="inlineStr">
        <is>
          <t>未完成</t>
        </is>
      </c>
      <c r="T13" s="23" t="n"/>
      <c r="U13" s="23" t="n"/>
    </row>
    <row r="14" ht="15" customFormat="1" customHeight="1" s="40">
      <c r="A14" s="24" t="n"/>
      <c r="B14" s="43" t="inlineStr">
        <is>
          <t>4.1.6</t>
        </is>
      </c>
      <c r="C14" s="31" t="inlineStr">
        <is>
          <t>测试问题结果确认</t>
        </is>
      </c>
      <c r="D14" s="26" t="n"/>
      <c r="E14" s="26" t="n"/>
      <c r="F14" s="28" t="n"/>
      <c r="G14" s="29" t="n"/>
      <c r="H14" s="29" t="n"/>
      <c r="I14" s="29" t="n"/>
      <c r="J14" s="44">
        <f>主计划!N70</f>
        <v/>
      </c>
      <c r="K14" s="44">
        <f>主计划!O70</f>
        <v/>
      </c>
      <c r="L14" s="29">
        <f>主计划!P70</f>
        <v/>
      </c>
      <c r="M14" s="29" t="n"/>
      <c r="N14" s="44">
        <f>MIN(N15:N15)</f>
        <v/>
      </c>
      <c r="O14" s="44">
        <f>MAX(O15:O15)</f>
        <v/>
      </c>
      <c r="P14" s="29">
        <f>NETWORKDAYS(N14,O14)</f>
        <v/>
      </c>
      <c r="Q14" s="28" t="inlineStr">
        <is>
          <t>陈本鸿</t>
        </is>
      </c>
      <c r="R14" s="28" t="n"/>
      <c r="S14" s="32">
        <f>IF(COUNTIF(S15:S15,"未完成")=COUNTA(S15:S15),"未完成",IF(COUNTIF(S15:S15,"已完成")=COUNTA(S15:S15),"已完成","进行中"))</f>
        <v/>
      </c>
      <c r="T14" s="28" t="n"/>
      <c r="U14" s="23" t="n"/>
    </row>
    <row r="15" ht="15" customFormat="1" customHeight="1" s="40">
      <c r="A15" s="24" t="n"/>
      <c r="B15" s="24" t="n"/>
      <c r="C15" s="33" t="n"/>
      <c r="D15" s="33" t="inlineStr">
        <is>
          <t>测试问题结果确认</t>
        </is>
      </c>
      <c r="E15" s="33" t="n"/>
      <c r="F15" s="23" t="n"/>
      <c r="G15" s="34" t="n"/>
      <c r="H15" s="34" t="n"/>
      <c r="I15" s="23" t="n"/>
      <c r="J15" s="45">
        <f>J14</f>
        <v/>
      </c>
      <c r="K15" s="45">
        <f>_xlfn.WORKDAY.INTL(J15,L15-1,1,法定节假日!$B$2:$B$67)</f>
        <v/>
      </c>
      <c r="L15" s="34">
        <f>L14</f>
        <v/>
      </c>
      <c r="M15" s="34" t="n"/>
      <c r="N15" s="45" t="n"/>
      <c r="O15" s="45" t="n"/>
      <c r="P15" s="34">
        <f>NETWORKDAYS(N15,O15)</f>
        <v/>
      </c>
      <c r="Q15" s="23" t="n"/>
      <c r="R15" s="23" t="n"/>
      <c r="S15" s="37" t="inlineStr">
        <is>
          <t>未完成</t>
        </is>
      </c>
      <c r="T15" s="23" t="n"/>
      <c r="U15" s="23" t="n"/>
    </row>
    <row r="16" ht="15" customFormat="1" customHeight="1" s="40">
      <c r="A16" s="17" t="n">
        <v>4.2</v>
      </c>
      <c r="B16" s="17" t="n"/>
      <c r="C16" s="17" t="inlineStr">
        <is>
          <t>最终用户培训</t>
        </is>
      </c>
      <c r="D16" s="17" t="n"/>
      <c r="E16" s="17" t="n"/>
      <c r="F16" s="19" t="n"/>
      <c r="G16" s="20" t="n"/>
      <c r="H16" s="20" t="n"/>
      <c r="I16" s="19" t="n"/>
      <c r="J16" s="42">
        <f>主计划!N71</f>
        <v/>
      </c>
      <c r="K16" s="42">
        <f>主计划!O71</f>
        <v/>
      </c>
      <c r="L16" s="20">
        <f>主计划!P71</f>
        <v/>
      </c>
      <c r="M16" s="20" t="n"/>
      <c r="N16" s="42">
        <f>MIN(N17:N21)</f>
        <v/>
      </c>
      <c r="O16" s="42">
        <f>MAX(O17:O21)</f>
        <v/>
      </c>
      <c r="P16" s="20">
        <f>NETWORKDAYS(N16,O16)</f>
        <v/>
      </c>
      <c r="Q16" s="19" t="inlineStr">
        <is>
          <t>陈本鸿</t>
        </is>
      </c>
      <c r="R16" s="19" t="n"/>
      <c r="S16" s="22">
        <f>IF(COUNTIF(S17:S21,"未完成")=COUNTA(S17:S21),"未完成",IF(COUNTIF(S17:S21,"已完成")=COUNTA(S17:S21),"已完成","进行中"))</f>
        <v/>
      </c>
      <c r="T16" s="19" t="n"/>
      <c r="U16" s="23" t="n"/>
    </row>
    <row r="17" ht="15" customFormat="1" customHeight="1" s="40">
      <c r="A17" s="24" t="n"/>
      <c r="B17" s="43" t="inlineStr">
        <is>
          <t>4.2.1</t>
        </is>
      </c>
      <c r="C17" s="31" t="inlineStr">
        <is>
          <t>最终用户培训考核</t>
        </is>
      </c>
      <c r="D17" s="26" t="n"/>
      <c r="E17" s="26" t="n"/>
      <c r="F17" s="28" t="n"/>
      <c r="G17" s="29" t="n"/>
      <c r="H17" s="29" t="n"/>
      <c r="I17" s="29" t="n"/>
      <c r="J17" s="44">
        <f>主计划!N72</f>
        <v/>
      </c>
      <c r="K17" s="44">
        <f>主计划!O72</f>
        <v/>
      </c>
      <c r="L17" s="29">
        <f>主计划!P72</f>
        <v/>
      </c>
      <c r="M17" s="29" t="n"/>
      <c r="N17" s="44">
        <f>MIN(N18:N19)</f>
        <v/>
      </c>
      <c r="O17" s="44">
        <f>MAX(O18:O19)</f>
        <v/>
      </c>
      <c r="P17" s="29">
        <f>NETWORKDAYS(N17,O17)</f>
        <v/>
      </c>
      <c r="Q17" s="28" t="inlineStr">
        <is>
          <t>陈本鸿</t>
        </is>
      </c>
      <c r="R17" s="28" t="n"/>
      <c r="S17" s="32">
        <f>IF(COUNTIF(S18:S19,"未完成")=COUNTA(S18:S19),"未完成",IF(COUNTIF(S18:S19,"已完成")=COUNTA(S18:S19),"已完成","进行中"))</f>
        <v/>
      </c>
      <c r="T17" s="28" t="n"/>
      <c r="U17" s="23" t="n"/>
    </row>
    <row r="18" ht="15" customFormat="1" customHeight="1" s="40">
      <c r="A18" s="24" t="n"/>
      <c r="B18" s="37" t="n"/>
      <c r="C18" s="36" t="n"/>
      <c r="D18" s="33" t="inlineStr">
        <is>
          <t>最终用户培训准备</t>
        </is>
      </c>
      <c r="E18" s="33" t="n"/>
      <c r="F18" s="23" t="n"/>
      <c r="G18" s="34" t="n"/>
      <c r="H18" s="34" t="n"/>
      <c r="I18" s="23" t="n"/>
      <c r="J18" s="45">
        <f>J17</f>
        <v/>
      </c>
      <c r="K18" s="45">
        <f>_xlfn.WORKDAY.INTL(J18,L18-1,1,法定节假日!$B$2:$B$67)</f>
        <v/>
      </c>
      <c r="L18" s="34" t="n">
        <v>2</v>
      </c>
      <c r="M18" s="34" t="n"/>
      <c r="N18" s="45" t="n"/>
      <c r="O18" s="45" t="n"/>
      <c r="P18" s="34">
        <f>NETWORKDAYS(N18,O18)</f>
        <v/>
      </c>
      <c r="Q18" s="23" t="n"/>
      <c r="R18" s="23" t="n"/>
      <c r="S18" s="37" t="inlineStr">
        <is>
          <t>未完成</t>
        </is>
      </c>
      <c r="T18" s="23" t="n"/>
      <c r="U18" s="23" t="n"/>
    </row>
    <row r="19" ht="15" customFormat="1" customHeight="1" s="40">
      <c r="A19" s="24" t="n"/>
      <c r="B19" s="16" t="n"/>
      <c r="C19" s="16" t="n"/>
      <c r="D19" s="33" t="inlineStr">
        <is>
          <t>最终用户培训与考核</t>
        </is>
      </c>
      <c r="E19" s="33" t="n"/>
      <c r="F19" s="23" t="n"/>
      <c r="G19" s="34" t="n"/>
      <c r="H19" s="34" t="n"/>
      <c r="I19" s="23" t="n"/>
      <c r="J19" s="45">
        <f>_xlfn.WORKDAY.INTL(K18,1,1,法定节假日!$B$2:$B$67)</f>
        <v/>
      </c>
      <c r="K19" s="45">
        <f>_xlfn.WORKDAY.INTL(J19,L19-1,1,法定节假日!$B$2:$B$67)</f>
        <v/>
      </c>
      <c r="L19" s="34">
        <f>L17-SUM(L18:L18)</f>
        <v/>
      </c>
      <c r="M19" s="34" t="n"/>
      <c r="N19" s="45" t="n"/>
      <c r="O19" s="45" t="n"/>
      <c r="P19" s="34">
        <f>NETWORKDAYS(N19,O19)</f>
        <v/>
      </c>
      <c r="Q19" s="23" t="n"/>
      <c r="R19" s="23" t="n"/>
      <c r="S19" s="37" t="inlineStr">
        <is>
          <t>未完成</t>
        </is>
      </c>
      <c r="T19" s="23" t="n"/>
      <c r="U19" s="23" t="n"/>
    </row>
    <row r="20" ht="15" customFormat="1" customHeight="1" s="40">
      <c r="A20" s="24" t="n"/>
      <c r="B20" s="43" t="inlineStr">
        <is>
          <t>4.2.2</t>
        </is>
      </c>
      <c r="C20" s="31" t="inlineStr">
        <is>
          <t>用户操作手册制定</t>
        </is>
      </c>
      <c r="D20" s="26" t="n"/>
      <c r="E20" s="26" t="n"/>
      <c r="F20" s="28" t="n"/>
      <c r="G20" s="29" t="n"/>
      <c r="H20" s="29" t="n"/>
      <c r="I20" s="29" t="n"/>
      <c r="J20" s="44">
        <f>主计划!N73</f>
        <v/>
      </c>
      <c r="K20" s="44">
        <f>主计划!O73</f>
        <v/>
      </c>
      <c r="L20" s="29">
        <f>主计划!P73</f>
        <v/>
      </c>
      <c r="M20" s="29" t="n"/>
      <c r="N20" s="44">
        <f>MIN(N21:N21)</f>
        <v/>
      </c>
      <c r="O20" s="44">
        <f>MAX(O21:O21)</f>
        <v/>
      </c>
      <c r="P20" s="29">
        <f>NETWORKDAYS(N20,O20)</f>
        <v/>
      </c>
      <c r="Q20" s="28" t="inlineStr">
        <is>
          <t>陈本鸿</t>
        </is>
      </c>
      <c r="R20" s="28" t="n"/>
      <c r="S20" s="32">
        <f>IF(COUNTIF(S21:S21,"未完成")=COUNTA(S21:S21),"未完成",IF(COUNTIF(S21:S21,"已完成")=COUNTA(S21:S21),"已完成","进行中"))</f>
        <v/>
      </c>
      <c r="T20" s="28" t="n"/>
      <c r="U20" s="23" t="n"/>
    </row>
    <row r="21" ht="15" customFormat="1" customHeight="1" s="40">
      <c r="A21" s="24" t="n"/>
      <c r="B21" s="24" t="n"/>
      <c r="C21" s="36" t="n"/>
      <c r="D21" s="33" t="inlineStr">
        <is>
          <t>操作手册撰写与顾问评审</t>
        </is>
      </c>
      <c r="E21" s="33" t="n"/>
      <c r="F21" s="23" t="n"/>
      <c r="G21" s="34" t="inlineStr">
        <is>
          <t>√</t>
        </is>
      </c>
      <c r="H21" s="34" t="inlineStr">
        <is>
          <t>√</t>
        </is>
      </c>
      <c r="I21" s="34" t="inlineStr">
        <is>
          <t>√</t>
        </is>
      </c>
      <c r="J21" s="45">
        <f>J20</f>
        <v/>
      </c>
      <c r="K21" s="45">
        <f>_xlfn.WORKDAY.INTL(J21,L21-1,1,法定节假日!$B$2:$B$67)</f>
        <v/>
      </c>
      <c r="L21" s="34">
        <f>L20</f>
        <v/>
      </c>
      <c r="M21" s="34" t="n"/>
      <c r="N21" s="45" t="n"/>
      <c r="O21" s="45" t="n"/>
      <c r="P21" s="34">
        <f>NETWORKDAYS(N21,O21)</f>
        <v/>
      </c>
      <c r="Q21" s="23" t="n"/>
      <c r="R21" s="23" t="n"/>
      <c r="S21" s="37" t="inlineStr">
        <is>
          <t>未完成</t>
        </is>
      </c>
      <c r="T21" s="23" t="n"/>
      <c r="U21" s="23" t="n"/>
    </row>
    <row r="22" ht="15" customFormat="1" customHeight="1" s="40">
      <c r="A22" s="17" t="n">
        <v>4.3</v>
      </c>
      <c r="B22" s="17" t="n"/>
      <c r="C22" s="17" t="inlineStr">
        <is>
          <t>上线准备</t>
        </is>
      </c>
      <c r="D22" s="17" t="n"/>
      <c r="E22" s="17" t="n"/>
      <c r="F22" s="19" t="n"/>
      <c r="G22" s="20" t="n"/>
      <c r="H22" s="20" t="n"/>
      <c r="I22" s="19" t="n"/>
      <c r="J22" s="42">
        <f>主计划!N74</f>
        <v/>
      </c>
      <c r="K22" s="42">
        <f>主计划!O74</f>
        <v/>
      </c>
      <c r="L22" s="20">
        <f>主计划!P74</f>
        <v/>
      </c>
      <c r="M22" s="20" t="n"/>
      <c r="N22" s="42">
        <f>MIN(N23:N39)</f>
        <v/>
      </c>
      <c r="O22" s="42">
        <f>MAX(O23:O39)</f>
        <v/>
      </c>
      <c r="P22" s="20">
        <f>NETWORKDAYS(N22,O22)</f>
        <v/>
      </c>
      <c r="Q22" s="19" t="inlineStr">
        <is>
          <t>陈本鸿</t>
        </is>
      </c>
      <c r="R22" s="19" t="n"/>
      <c r="S22" s="22">
        <f>IF(COUNTIF(S23:S39,"未完成")=COUNTA(S23:S39),"未完成",IF(COUNTIF(S23:S39,"已完成")=COUNTA(S23:S39),"已完成","进行中"))</f>
        <v/>
      </c>
      <c r="T22" s="19" t="n"/>
      <c r="U22" s="23" t="n"/>
    </row>
    <row r="23" ht="15" customFormat="1" customHeight="1" s="40">
      <c r="A23" s="24" t="n"/>
      <c r="B23" s="43" t="inlineStr">
        <is>
          <t>4.3.1</t>
        </is>
      </c>
      <c r="C23" s="31" t="inlineStr">
        <is>
          <t>制定上线策略与切换计划</t>
        </is>
      </c>
      <c r="D23" s="26" t="n"/>
      <c r="E23" s="26" t="n"/>
      <c r="F23" s="28" t="n"/>
      <c r="G23" s="29" t="n"/>
      <c r="H23" s="29" t="n"/>
      <c r="I23" s="29" t="n"/>
      <c r="J23" s="44">
        <f>主计划!N75</f>
        <v/>
      </c>
      <c r="K23" s="44">
        <f>主计划!O75</f>
        <v/>
      </c>
      <c r="L23" s="29">
        <f>主计划!P75</f>
        <v/>
      </c>
      <c r="M23" s="29" t="n"/>
      <c r="N23" s="44">
        <f>MIN(N24:N25)</f>
        <v/>
      </c>
      <c r="O23" s="44">
        <f>MAX(O24:O25)</f>
        <v/>
      </c>
      <c r="P23" s="29">
        <f>NETWORKDAYS(N23,O23)</f>
        <v/>
      </c>
      <c r="Q23" s="28" t="inlineStr">
        <is>
          <t>陈本鸿</t>
        </is>
      </c>
      <c r="R23" s="28" t="n"/>
      <c r="S23" s="32">
        <f>IF(COUNTIF(S24:S25,"未完成")=COUNTA(S24:S25),"未完成",IF(COUNTIF(S24:S25,"已完成")=COUNTA(S24:S25),"已完成","进行中"))</f>
        <v/>
      </c>
      <c r="T23" s="28" t="n"/>
      <c r="U23" s="23" t="n"/>
    </row>
    <row r="24" ht="15" customFormat="1" customHeight="1" s="40">
      <c r="A24" s="24" t="n"/>
      <c r="B24" s="37" t="n"/>
      <c r="C24" s="36" t="n"/>
      <c r="D24" s="23" t="inlineStr">
        <is>
          <t>上线策略与切换计划制定</t>
        </is>
      </c>
      <c r="E24" s="23" t="n"/>
      <c r="F24" s="23" t="n"/>
      <c r="G24" s="34" t="inlineStr">
        <is>
          <t>√</t>
        </is>
      </c>
      <c r="H24" s="34" t="inlineStr">
        <is>
          <t>√</t>
        </is>
      </c>
      <c r="I24" s="34" t="inlineStr">
        <is>
          <t>√</t>
        </is>
      </c>
      <c r="J24" s="45">
        <f>J23</f>
        <v/>
      </c>
      <c r="K24" s="45">
        <f>_xlfn.WORKDAY.INTL(J24,L24-1,1,法定节假日!$B$2:$B$67)</f>
        <v/>
      </c>
      <c r="L24" s="34" t="n">
        <v>5</v>
      </c>
      <c r="M24" s="34" t="n"/>
      <c r="N24" s="45" t="n"/>
      <c r="O24" s="45" t="n"/>
      <c r="P24" s="34">
        <f>NETWORKDAYS(N24,O24)</f>
        <v/>
      </c>
      <c r="Q24" s="23" t="n"/>
      <c r="R24" s="23" t="n"/>
      <c r="S24" s="37" t="inlineStr">
        <is>
          <t>未完成</t>
        </is>
      </c>
      <c r="T24" s="23" t="n"/>
      <c r="U24" s="23" t="n"/>
    </row>
    <row r="25" ht="15" customFormat="1" customHeight="1" s="40">
      <c r="A25" s="24" t="n"/>
      <c r="B25" s="16" t="n"/>
      <c r="C25" s="16" t="n"/>
      <c r="D25" s="23" t="inlineStr">
        <is>
          <t>上线应急策略制定</t>
        </is>
      </c>
      <c r="E25" s="23" t="n"/>
      <c r="F25" s="23" t="n"/>
      <c r="G25" s="34" t="n"/>
      <c r="H25" s="34" t="inlineStr">
        <is>
          <t>√</t>
        </is>
      </c>
      <c r="I25" s="34" t="n"/>
      <c r="J25" s="45">
        <f>_xlfn.WORKDAY.INTL(K24,1,1,法定节假日!$B$2:$B$67)</f>
        <v/>
      </c>
      <c r="K25" s="45">
        <f>_xlfn.WORKDAY.INTL(J25,L25-1,1,法定节假日!$B$2:$B$67)</f>
        <v/>
      </c>
      <c r="L25" s="34">
        <f>L23-SUM(L24:L24)</f>
        <v/>
      </c>
      <c r="M25" s="34" t="n"/>
      <c r="N25" s="45" t="n"/>
      <c r="O25" s="45" t="n"/>
      <c r="P25" s="34">
        <f>NETWORKDAYS(N25,O25)</f>
        <v/>
      </c>
      <c r="Q25" s="23" t="n"/>
      <c r="R25" s="23" t="n"/>
      <c r="S25" s="37" t="inlineStr">
        <is>
          <t>未完成</t>
        </is>
      </c>
      <c r="T25" s="23" t="n"/>
      <c r="U25" s="23" t="n"/>
    </row>
    <row r="26" ht="16.5" customFormat="1" customHeight="1" s="40">
      <c r="A26" s="24" t="n"/>
      <c r="B26" s="43" t="inlineStr">
        <is>
          <t>4.3.2</t>
        </is>
      </c>
      <c r="C26" s="31" t="inlineStr">
        <is>
          <t>初始化数据准备与测试</t>
        </is>
      </c>
      <c r="D26" s="26" t="n"/>
      <c r="E26" s="26" t="n"/>
      <c r="F26" s="28" t="n"/>
      <c r="G26" s="29" t="n"/>
      <c r="H26" s="29" t="n"/>
      <c r="I26" s="29" t="n"/>
      <c r="J26" s="44">
        <f>主计划!N76</f>
        <v/>
      </c>
      <c r="K26" s="44">
        <f>主计划!O76</f>
        <v/>
      </c>
      <c r="L26" s="29">
        <f>主计划!P76</f>
        <v/>
      </c>
      <c r="M26" s="29" t="n"/>
      <c r="N26" s="44">
        <f>MIN(N27:N29)</f>
        <v/>
      </c>
      <c r="O26" s="44">
        <f>MAX(O27:O29)</f>
        <v/>
      </c>
      <c r="P26" s="29">
        <f>NETWORKDAYS(N26,O26)</f>
        <v/>
      </c>
      <c r="Q26" s="28" t="inlineStr">
        <is>
          <t>宋沛霖</t>
        </is>
      </c>
      <c r="R26" s="28" t="n"/>
      <c r="S26" s="32">
        <f>IF(COUNTIF(S27:S29,"未完成")=COUNTA(S27:S29),"未完成",IF(COUNTIF(S27:S29,"已完成")=COUNTA(S27:S29),"已完成","进行中"))</f>
        <v/>
      </c>
      <c r="T26" s="28" t="n"/>
      <c r="U26" s="23" t="n"/>
    </row>
    <row r="27" ht="16.5" customFormat="1" customHeight="1" s="40">
      <c r="A27" s="24" t="n"/>
      <c r="B27" s="37" t="n"/>
      <c r="C27" s="46" t="n"/>
      <c r="D27" s="23" t="inlineStr">
        <is>
          <t>初始化数据清单确认</t>
        </is>
      </c>
      <c r="E27" s="23" t="n"/>
      <c r="F27" s="23" t="n"/>
      <c r="G27" s="34" t="n"/>
      <c r="H27" s="34" t="n"/>
      <c r="I27" s="34" t="n"/>
      <c r="J27" s="45">
        <f>J26</f>
        <v/>
      </c>
      <c r="K27" s="45">
        <f>_xlfn.WORKDAY.INTL(J27,L27-1,1,法定节假日!$B$2:$B$67)</f>
        <v/>
      </c>
      <c r="L27" s="34" t="n">
        <v>2</v>
      </c>
      <c r="M27" s="34" t="n"/>
      <c r="N27" s="45" t="n"/>
      <c r="O27" s="45" t="n"/>
      <c r="P27" s="34">
        <f>NETWORKDAYS(N27,O27)</f>
        <v/>
      </c>
      <c r="Q27" s="23" t="n"/>
      <c r="R27" s="23" t="n"/>
      <c r="S27" s="37" t="inlineStr">
        <is>
          <t>未完成</t>
        </is>
      </c>
      <c r="T27" s="23" t="n"/>
      <c r="U27" s="23" t="n"/>
    </row>
    <row r="28" ht="16.5" customFormat="1" customHeight="1" s="40">
      <c r="A28" s="24" t="n"/>
      <c r="B28" s="16" t="n"/>
      <c r="C28" s="16" t="n"/>
      <c r="D28" s="33" t="inlineStr">
        <is>
          <t>初始化数据验证指南</t>
        </is>
      </c>
      <c r="E28" s="33" t="n"/>
      <c r="F28" s="23" t="n"/>
      <c r="G28" s="34" t="n"/>
      <c r="H28" s="34" t="n"/>
      <c r="I28" s="23" t="n"/>
      <c r="J28" s="45">
        <f>_xlfn.WORKDAY.INTL(K27,1,1,法定节假日!$B$2:$B$67)</f>
        <v/>
      </c>
      <c r="K28" s="45">
        <f>_xlfn.WORKDAY.INTL(J28,L28-1,1,法定节假日!$B$2:$B$67)</f>
        <v/>
      </c>
      <c r="L28" s="34" t="n">
        <v>4</v>
      </c>
      <c r="M28" s="34" t="n"/>
      <c r="N28" s="45" t="n"/>
      <c r="O28" s="45" t="n"/>
      <c r="P28" s="34">
        <f>NETWORKDAYS(N28,O28)</f>
        <v/>
      </c>
      <c r="Q28" s="23" t="n"/>
      <c r="R28" s="23" t="n"/>
      <c r="S28" s="37" t="inlineStr">
        <is>
          <t>未完成</t>
        </is>
      </c>
      <c r="T28" s="23" t="n"/>
      <c r="U28" s="23" t="n"/>
    </row>
    <row r="29" ht="16.5" customFormat="1" customHeight="1" s="40">
      <c r="A29" s="24" t="n"/>
      <c r="B29" s="16" t="n"/>
      <c r="C29" s="16" t="n"/>
      <c r="D29" s="33" t="inlineStr">
        <is>
          <t>xxxx数据收集与测试</t>
        </is>
      </c>
      <c r="E29" s="33" t="n"/>
      <c r="F29" s="23" t="n"/>
      <c r="G29" s="34" t="n"/>
      <c r="H29" s="34" t="n"/>
      <c r="I29" s="23" t="n"/>
      <c r="J29" s="45">
        <f>_xlfn.WORKDAY.INTL(K28,1,1,法定节假日!$B$2:$B$67)</f>
        <v/>
      </c>
      <c r="K29" s="45">
        <f>_xlfn.WORKDAY.INTL(J29,L29-1,1,法定节假日!$B$2:$B$67)</f>
        <v/>
      </c>
      <c r="L29" s="34">
        <f>L26-SUM(L27:L28)</f>
        <v/>
      </c>
      <c r="M29" s="34" t="n"/>
      <c r="N29" s="45" t="n"/>
      <c r="O29" s="45" t="n"/>
      <c r="P29" s="34">
        <f>NETWORKDAYS(N29,O29)</f>
        <v/>
      </c>
      <c r="Q29" s="23" t="n"/>
      <c r="R29" s="23" t="n"/>
      <c r="S29" s="37" t="inlineStr">
        <is>
          <t>未完成</t>
        </is>
      </c>
      <c r="T29" s="23" t="n"/>
      <c r="U29" s="23" t="n"/>
    </row>
    <row r="30" ht="15" customFormat="1" customHeight="1" s="40">
      <c r="A30" s="24" t="n"/>
      <c r="B30" s="43" t="inlineStr">
        <is>
          <t>4.3.3</t>
        </is>
      </c>
      <c r="C30" s="31" t="inlineStr">
        <is>
          <t>准备正式生产环境</t>
        </is>
      </c>
      <c r="D30" s="26" t="n"/>
      <c r="E30" s="26" t="n"/>
      <c r="F30" s="28" t="n"/>
      <c r="G30" s="29" t="n"/>
      <c r="H30" s="29" t="n"/>
      <c r="I30" s="29" t="n"/>
      <c r="J30" s="44">
        <f>主计划!N77</f>
        <v/>
      </c>
      <c r="K30" s="44">
        <f>主计划!O77</f>
        <v/>
      </c>
      <c r="L30" s="29">
        <f>主计划!P77</f>
        <v/>
      </c>
      <c r="M30" s="29" t="n"/>
      <c r="N30" s="44">
        <f>MIN(N31:N37)</f>
        <v/>
      </c>
      <c r="O30" s="44">
        <f>MAX(O31:O37)</f>
        <v/>
      </c>
      <c r="P30" s="29">
        <f>NETWORKDAYS(N30,O30)</f>
        <v/>
      </c>
      <c r="Q30" s="28" t="inlineStr">
        <is>
          <t>陈本鸿</t>
        </is>
      </c>
      <c r="R30" s="28" t="n"/>
      <c r="S30" s="32">
        <f>IF(COUNTIF(S31:S37,"未完成")=COUNTA(S31:S37),"未完成",IF(COUNTIF(S31:S37,"已完成")=COUNTA(S31:S37),"已完成","进行中"))</f>
        <v/>
      </c>
      <c r="T30" s="28" t="n"/>
      <c r="U30" s="23" t="n"/>
    </row>
    <row r="31" ht="15" customFormat="1" customHeight="1" s="40">
      <c r="A31" s="24" t="n"/>
      <c r="B31" s="37" t="n"/>
      <c r="C31" s="36" t="n"/>
      <c r="D31" s="33" t="inlineStr">
        <is>
          <t>服务器配置确认</t>
        </is>
      </c>
      <c r="E31" s="33" t="n"/>
      <c r="F31" s="23" t="n"/>
      <c r="G31" s="34" t="n"/>
      <c r="H31" s="34" t="n"/>
      <c r="I31" s="23" t="n"/>
      <c r="J31" s="45">
        <f>J30</f>
        <v/>
      </c>
      <c r="K31" s="45">
        <f>_xlfn.WORKDAY.INTL(J31,L31-1,1,法定节假日!$B$2:$B$67)</f>
        <v/>
      </c>
      <c r="L31" s="34" t="n">
        <v>1</v>
      </c>
      <c r="M31" s="34" t="n"/>
      <c r="N31" s="45" t="n"/>
      <c r="O31" s="45" t="n"/>
      <c r="P31" s="34">
        <f>NETWORKDAYS(N31,O31)</f>
        <v/>
      </c>
      <c r="Q31" s="23" t="n"/>
      <c r="R31" s="23" t="n"/>
      <c r="S31" s="37" t="inlineStr">
        <is>
          <t>未完成</t>
        </is>
      </c>
      <c r="T31" s="23" t="n"/>
      <c r="U31" s="23" t="n"/>
    </row>
    <row r="32" ht="15" customFormat="1" customHeight="1" s="40">
      <c r="A32" s="24" t="n"/>
      <c r="B32" s="16" t="n"/>
      <c r="C32" s="16" t="n"/>
      <c r="D32" s="33" t="inlineStr">
        <is>
          <t>服务器端口开放确认</t>
        </is>
      </c>
      <c r="E32" s="33" t="n"/>
      <c r="F32" s="23" t="n"/>
      <c r="G32" s="34" t="n"/>
      <c r="H32" s="34" t="n"/>
      <c r="I32" s="23" t="n"/>
      <c r="J32" s="45">
        <f>_xlfn.WORKDAY.INTL(K31,1,1,法定节假日!$B$2:$B$67)</f>
        <v/>
      </c>
      <c r="K32" s="45">
        <f>_xlfn.WORKDAY.INTL(J32,L32-1,1,法定节假日!$B$2:$B$67)</f>
        <v/>
      </c>
      <c r="L32" s="34" t="n">
        <v>1</v>
      </c>
      <c r="M32" s="34" t="n"/>
      <c r="N32" s="45" t="n"/>
      <c r="O32" s="45" t="n"/>
      <c r="P32" s="34">
        <f>NETWORKDAYS(N32,O32)</f>
        <v/>
      </c>
      <c r="Q32" s="23" t="n"/>
      <c r="R32" s="23" t="n"/>
      <c r="S32" s="37" t="inlineStr">
        <is>
          <t>未完成</t>
        </is>
      </c>
      <c r="T32" s="23" t="n"/>
      <c r="U32" s="23" t="n"/>
    </row>
    <row r="33" ht="15" customFormat="1" customHeight="1" s="40">
      <c r="A33" s="24" t="n"/>
      <c r="B33" s="16" t="n"/>
      <c r="C33" s="16" t="n"/>
      <c r="D33" s="33" t="inlineStr">
        <is>
          <t>平台部署与自查</t>
        </is>
      </c>
      <c r="E33" s="33" t="n"/>
      <c r="F33" s="23" t="n"/>
      <c r="G33" s="34" t="n"/>
      <c r="H33" s="34" t="n"/>
      <c r="I33" s="23" t="n"/>
      <c r="J33" s="45">
        <f>_xlfn.WORKDAY.INTL(K32,1,1,法定节假日!$B$2:$B$67)</f>
        <v/>
      </c>
      <c r="K33" s="45">
        <f>_xlfn.WORKDAY.INTL(J33,L33-1,1,法定节假日!$B$2:$B$67)</f>
        <v/>
      </c>
      <c r="L33" s="34" t="n">
        <v>2</v>
      </c>
      <c r="M33" s="34" t="n"/>
      <c r="N33" s="45" t="n"/>
      <c r="O33" s="45" t="n"/>
      <c r="P33" s="34">
        <f>NETWORKDAYS(N33,O33)</f>
        <v/>
      </c>
      <c r="Q33" s="23" t="n"/>
      <c r="R33" s="23" t="n"/>
      <c r="S33" s="37" t="inlineStr">
        <is>
          <t>未完成</t>
        </is>
      </c>
      <c r="T33" s="23" t="n"/>
      <c r="U33" s="23" t="n"/>
    </row>
    <row r="34" ht="15" customFormat="1" customHeight="1" s="40">
      <c r="A34" s="24" t="n"/>
      <c r="B34" s="16" t="n"/>
      <c r="C34" s="16" t="n"/>
      <c r="D34" s="33" t="inlineStr">
        <is>
          <t>模型部署与检查</t>
        </is>
      </c>
      <c r="E34" s="33" t="n"/>
      <c r="F34" s="23" t="n"/>
      <c r="G34" s="34" t="n"/>
      <c r="H34" s="34" t="n"/>
      <c r="I34" s="23" t="n"/>
      <c r="J34" s="45">
        <f>_xlfn.WORKDAY.INTL(K33,1,1,法定节假日!$B$2:$B$67)</f>
        <v/>
      </c>
      <c r="K34" s="45">
        <f>_xlfn.WORKDAY.INTL(J34,L34-1,1,法定节假日!$B$2:$B$67)</f>
        <v/>
      </c>
      <c r="L34" s="34" t="n">
        <v>2</v>
      </c>
      <c r="M34" s="34" t="n"/>
      <c r="N34" s="45" t="n"/>
      <c r="O34" s="45" t="n"/>
      <c r="P34" s="34">
        <f>NETWORKDAYS(N34,O34)</f>
        <v/>
      </c>
      <c r="Q34" s="23" t="n"/>
      <c r="R34" s="23" t="n"/>
      <c r="S34" s="37" t="inlineStr">
        <is>
          <t>未完成</t>
        </is>
      </c>
      <c r="T34" s="23" t="n"/>
      <c r="U34" s="23" t="n"/>
    </row>
    <row r="35" ht="15" customFormat="1" customHeight="1" s="40">
      <c r="A35" s="24" t="n"/>
      <c r="B35" s="16" t="n"/>
      <c r="C35" s="16" t="n"/>
      <c r="D35" s="33" t="inlineStr">
        <is>
          <t>数据库安装与检查</t>
        </is>
      </c>
      <c r="E35" s="33" t="n"/>
      <c r="F35" s="23" t="n"/>
      <c r="G35" s="34" t="n"/>
      <c r="H35" s="34" t="n"/>
      <c r="I35" s="23" t="n"/>
      <c r="J35" s="45">
        <f>_xlfn.WORKDAY.INTL(K34,1,1,法定节假日!$B$2:$B$67)</f>
        <v/>
      </c>
      <c r="K35" s="45">
        <f>_xlfn.WORKDAY.INTL(J35,L35-1,1,法定节假日!$B$2:$B$67)</f>
        <v/>
      </c>
      <c r="L35" s="34" t="n">
        <v>2</v>
      </c>
      <c r="M35" s="34" t="n"/>
      <c r="N35" s="45" t="n"/>
      <c r="O35" s="45" t="n"/>
      <c r="P35" s="34">
        <f>NETWORKDAYS(N35,O35)</f>
        <v/>
      </c>
      <c r="Q35" s="23" t="n"/>
      <c r="R35" s="23" t="n"/>
      <c r="S35" s="37" t="inlineStr">
        <is>
          <t>未完成</t>
        </is>
      </c>
      <c r="T35" s="23" t="n"/>
      <c r="U35" s="23" t="n"/>
    </row>
    <row r="36" ht="15" customFormat="1" customHeight="1" s="40">
      <c r="A36" s="24" t="n"/>
      <c r="B36" s="16" t="n"/>
      <c r="C36" s="16" t="n"/>
      <c r="D36" s="33" t="inlineStr">
        <is>
          <t>系统登录确认</t>
        </is>
      </c>
      <c r="E36" s="33" t="n"/>
      <c r="F36" s="23" t="n"/>
      <c r="G36" s="34" t="n"/>
      <c r="H36" s="34" t="n"/>
      <c r="I36" s="23" t="n"/>
      <c r="J36" s="45">
        <f>_xlfn.WORKDAY.INTL(K35,1,1,法定节假日!$B$2:$B$67)</f>
        <v/>
      </c>
      <c r="K36" s="45">
        <f>_xlfn.WORKDAY.INTL(J36,L36-1,1,法定节假日!$B$2:$B$67)</f>
        <v/>
      </c>
      <c r="L36" s="34" t="n">
        <v>1</v>
      </c>
      <c r="M36" s="34" t="n"/>
      <c r="N36" s="45" t="n"/>
      <c r="O36" s="45" t="n"/>
      <c r="P36" s="34">
        <f>NETWORKDAYS(N36,O36)</f>
        <v/>
      </c>
      <c r="Q36" s="23" t="n"/>
      <c r="R36" s="23" t="n"/>
      <c r="S36" s="37" t="inlineStr">
        <is>
          <t>未完成</t>
        </is>
      </c>
      <c r="T36" s="23" t="n"/>
      <c r="U36" s="23" t="n"/>
    </row>
    <row r="37" ht="15" customFormat="1" customHeight="1" s="40">
      <c r="A37" s="24" t="n"/>
      <c r="B37" s="16" t="n"/>
      <c r="C37" s="16" t="n"/>
      <c r="D37" s="33" t="inlineStr">
        <is>
          <t>网络通畅确认</t>
        </is>
      </c>
      <c r="E37" s="33" t="n"/>
      <c r="F37" s="23" t="n"/>
      <c r="G37" s="34" t="n"/>
      <c r="H37" s="34" t="n"/>
      <c r="I37" s="23" t="n"/>
      <c r="J37" s="45">
        <f>_xlfn.WORKDAY.INTL(K36,1,1,法定节假日!$B$2:$B$67)</f>
        <v/>
      </c>
      <c r="K37" s="45">
        <f>_xlfn.WORKDAY.INTL(J37,L37-1,1,法定节假日!$B$2:$B$67)</f>
        <v/>
      </c>
      <c r="L37" s="34">
        <f>L30-SUM(L31:L36)</f>
        <v/>
      </c>
      <c r="M37" s="34" t="n"/>
      <c r="N37" s="45" t="n"/>
      <c r="O37" s="45" t="n"/>
      <c r="P37" s="34">
        <f>NETWORKDAYS(N37,O37)</f>
        <v/>
      </c>
      <c r="Q37" s="23" t="n"/>
      <c r="R37" s="23" t="n"/>
      <c r="S37" s="37" t="inlineStr">
        <is>
          <t>未完成</t>
        </is>
      </c>
      <c r="T37" s="23" t="n"/>
      <c r="U37" s="23" t="n"/>
    </row>
    <row r="38">
      <c r="A38" s="24" t="n"/>
      <c r="B38" s="43" t="inlineStr">
        <is>
          <t>4.3.4</t>
        </is>
      </c>
      <c r="C38" s="31" t="inlineStr">
        <is>
          <t>上线启动商讨会</t>
        </is>
      </c>
      <c r="D38" s="26" t="n"/>
      <c r="E38" s="26" t="n"/>
      <c r="F38" s="28" t="n"/>
      <c r="G38" s="29" t="n"/>
      <c r="H38" s="29" t="n"/>
      <c r="I38" s="29" t="n"/>
      <c r="J38" s="44">
        <f>主计划!N78</f>
        <v/>
      </c>
      <c r="K38" s="44">
        <f>主计划!O78</f>
        <v/>
      </c>
      <c r="L38" s="29">
        <f>主计划!P78</f>
        <v/>
      </c>
      <c r="M38" s="29" t="n"/>
      <c r="N38" s="44">
        <f>MIN(N39:N39)</f>
        <v/>
      </c>
      <c r="O38" s="44">
        <f>MAX(O39:O39)</f>
        <v/>
      </c>
      <c r="P38" s="29">
        <f>NETWORKDAYS(N38,O38)</f>
        <v/>
      </c>
      <c r="Q38" s="28" t="inlineStr">
        <is>
          <t>周年根</t>
        </is>
      </c>
      <c r="R38" s="28" t="n"/>
      <c r="S38" s="32">
        <f>IF(COUNTIF(S39:S39,"未完成")=COUNTA(S39:S39),"未完成",IF(COUNTIF(S39:S39,"已完成")=COUNTA(S39:S39),"已完成","进行中"))</f>
        <v/>
      </c>
      <c r="T38" s="28" t="n"/>
      <c r="U38" s="23" t="n"/>
    </row>
    <row r="39">
      <c r="A39" s="24" t="n"/>
      <c r="B39" s="37" t="n"/>
      <c r="C39" s="36" t="n"/>
      <c r="D39" s="36" t="inlineStr">
        <is>
          <t>上线启动商讨会</t>
        </is>
      </c>
      <c r="E39" s="36" t="n"/>
      <c r="F39" s="23" t="n"/>
      <c r="G39" s="34" t="n"/>
      <c r="H39" s="34" t="n"/>
      <c r="I39" s="34" t="n"/>
      <c r="J39" s="45">
        <f>J38</f>
        <v/>
      </c>
      <c r="K39" s="45">
        <f>_xlfn.WORKDAY.INTL(J39,L39-1,1,法定节假日!$B$2:$B$67)</f>
        <v/>
      </c>
      <c r="L39" s="34">
        <f>L38</f>
        <v/>
      </c>
      <c r="M39" s="34" t="n"/>
      <c r="N39" s="45" t="n"/>
      <c r="O39" s="45" t="n"/>
      <c r="P39" s="34">
        <f>NETWORKDAYS(N39,O39)</f>
        <v/>
      </c>
      <c r="Q39" s="23" t="n"/>
      <c r="R39" s="23" t="n"/>
      <c r="S39" s="37" t="inlineStr">
        <is>
          <t>未完成</t>
        </is>
      </c>
      <c r="T39" s="23" t="n"/>
      <c r="U39" s="23" t="n"/>
    </row>
    <row r="40">
      <c r="A40" s="17" t="n">
        <v>4.4</v>
      </c>
      <c r="B40" s="17" t="n"/>
      <c r="C40" s="17" t="inlineStr">
        <is>
          <t>系统上线</t>
        </is>
      </c>
      <c r="D40" s="17" t="n"/>
      <c r="E40" s="17" t="n"/>
      <c r="F40" s="19" t="n"/>
      <c r="G40" s="20" t="n"/>
      <c r="H40" s="20" t="n"/>
      <c r="I40" s="19" t="n"/>
      <c r="J40" s="42">
        <f>主计划!N79</f>
        <v/>
      </c>
      <c r="K40" s="42">
        <f>主计划!O79</f>
        <v/>
      </c>
      <c r="L40" s="20">
        <f>主计划!P79</f>
        <v/>
      </c>
      <c r="M40" s="20" t="n"/>
      <c r="N40" s="42">
        <f>MIN(N41:N51)</f>
        <v/>
      </c>
      <c r="O40" s="42">
        <f>MAX(O41:O51)</f>
        <v/>
      </c>
      <c r="P40" s="20">
        <f>NETWORKDAYS(N40,O40)</f>
        <v/>
      </c>
      <c r="Q40" s="19" t="inlineStr">
        <is>
          <t>周年根</t>
        </is>
      </c>
      <c r="R40" s="19" t="n"/>
      <c r="S40" s="22">
        <f>IF(COUNTIF(S41:S51,"未完成")=COUNTA(S41:S51),"未完成",IF(COUNTIF(S41:S51,"已完成")=COUNTA(S41:S51),"已完成","进行中"))</f>
        <v/>
      </c>
      <c r="T40" s="19" t="n"/>
      <c r="U40" s="23" t="n"/>
    </row>
    <row r="41">
      <c r="A41" s="24" t="n"/>
      <c r="B41" s="43" t="inlineStr">
        <is>
          <t>4.4.1</t>
        </is>
      </c>
      <c r="C41" s="31" t="inlineStr">
        <is>
          <t>正式环境数据导入与优化确认</t>
        </is>
      </c>
      <c r="D41" s="26" t="n"/>
      <c r="E41" s="26" t="n"/>
      <c r="F41" s="28" t="n"/>
      <c r="G41" s="29" t="n"/>
      <c r="H41" s="29" t="n"/>
      <c r="I41" s="29" t="n"/>
      <c r="J41" s="44">
        <f>主计划!N80</f>
        <v/>
      </c>
      <c r="K41" s="44">
        <f>主计划!O80</f>
        <v/>
      </c>
      <c r="L41" s="29">
        <f>主计划!P80</f>
        <v/>
      </c>
      <c r="M41" s="29" t="n"/>
      <c r="N41" s="44">
        <f>MIN(N42:N44)</f>
        <v/>
      </c>
      <c r="O41" s="44">
        <f>MAX(O42:O44)</f>
        <v/>
      </c>
      <c r="P41" s="29">
        <f>NETWORKDAYS(N41,O41)</f>
        <v/>
      </c>
      <c r="Q41" s="28" t="inlineStr">
        <is>
          <t>宋沛霖</t>
        </is>
      </c>
      <c r="R41" s="28" t="n"/>
      <c r="S41" s="32">
        <f>IF(COUNTIF(S42:S44,"未完成")=COUNTA(S42:S44),"未完成",IF(COUNTIF(S42:S44,"已完成")=COUNTA(S42:S44),"已完成","进行中"))</f>
        <v/>
      </c>
      <c r="T41" s="28" t="n"/>
      <c r="U41" s="23" t="n"/>
    </row>
    <row r="42">
      <c r="A42" s="24" t="n"/>
      <c r="B42" s="37" t="n"/>
      <c r="C42" s="36" t="n"/>
      <c r="D42" s="33" t="inlineStr">
        <is>
          <t>模型场景页面视图配置</t>
        </is>
      </c>
      <c r="E42" s="33" t="n"/>
      <c r="F42" s="23" t="n"/>
      <c r="G42" s="34" t="n"/>
      <c r="H42" s="34" t="n"/>
      <c r="I42" s="23" t="n"/>
      <c r="J42" s="45">
        <f>J41</f>
        <v/>
      </c>
      <c r="K42" s="45">
        <f>_xlfn.WORKDAY.INTL(J42,L42-1,1,法定节假日!$B$2:$B$67)</f>
        <v/>
      </c>
      <c r="L42" s="34" t="n">
        <v>2</v>
      </c>
      <c r="M42" s="34" t="n"/>
      <c r="N42" s="45" t="n"/>
      <c r="O42" s="45" t="n"/>
      <c r="P42" s="34">
        <f>NETWORKDAYS(N42,O42)</f>
        <v/>
      </c>
      <c r="Q42" s="23" t="n"/>
      <c r="R42" s="23" t="n"/>
      <c r="S42" s="37" t="inlineStr">
        <is>
          <t>未完成</t>
        </is>
      </c>
      <c r="T42" s="23" t="n"/>
      <c r="U42" s="23" t="n"/>
    </row>
    <row r="43" ht="15" customHeight="1" s="2">
      <c r="A43" s="24" t="n"/>
      <c r="B43" s="16" t="n"/>
      <c r="C43" s="16" t="n"/>
      <c r="D43" s="33" t="inlineStr">
        <is>
          <t>xxxx数据导入与验证</t>
        </is>
      </c>
      <c r="E43" s="33" t="n"/>
      <c r="F43" s="23" t="n"/>
      <c r="G43" s="34" t="n"/>
      <c r="H43" s="34" t="n"/>
      <c r="I43" s="23" t="n"/>
      <c r="J43" s="45">
        <f>_xlfn.WORKDAY.INTL(K42,1,1,法定节假日!$B$2:$B$67)</f>
        <v/>
      </c>
      <c r="K43" s="45">
        <f>_xlfn.WORKDAY.INTL(J43,L43-1,1,法定节假日!$B$2:$B$67)</f>
        <v/>
      </c>
      <c r="L43" s="34" t="n">
        <v>3</v>
      </c>
      <c r="M43" s="34" t="n"/>
      <c r="N43" s="45" t="n"/>
      <c r="O43" s="45" t="n"/>
      <c r="P43" s="34">
        <f>NETWORKDAYS(N43,O43)</f>
        <v/>
      </c>
      <c r="Q43" s="23" t="n"/>
      <c r="R43" s="23" t="n"/>
      <c r="S43" s="37" t="inlineStr">
        <is>
          <t>未完成</t>
        </is>
      </c>
      <c r="T43" s="23" t="n"/>
      <c r="U43" s="23" t="n"/>
    </row>
    <row r="44" ht="15" customHeight="1" s="2">
      <c r="A44" s="24" t="n"/>
      <c r="B44" s="16" t="n"/>
      <c r="C44" s="16" t="n"/>
      <c r="D44" s="33" t="inlineStr">
        <is>
          <t>系统优化结果确认</t>
        </is>
      </c>
      <c r="E44" s="33" t="n"/>
      <c r="F44" s="23" t="n"/>
      <c r="G44" s="34" t="n"/>
      <c r="H44" s="34" t="n"/>
      <c r="I44" s="23" t="n"/>
      <c r="J44" s="45">
        <f>_xlfn.WORKDAY.INTL(K43,1,1,法定节假日!$B$2:$B$67)</f>
        <v/>
      </c>
      <c r="K44" s="45">
        <f>_xlfn.WORKDAY.INTL(J44,L44-1,1,法定节假日!$B$2:$B$67)</f>
        <v/>
      </c>
      <c r="L44" s="34">
        <f>L41-SUM(L42:L43)</f>
        <v/>
      </c>
      <c r="M44" s="34" t="n"/>
      <c r="N44" s="45" t="n"/>
      <c r="O44" s="45" t="n"/>
      <c r="P44" s="34">
        <f>NETWORKDAYS(N44,O44)</f>
        <v/>
      </c>
      <c r="Q44" s="23" t="n"/>
      <c r="R44" s="23" t="n"/>
      <c r="S44" s="37" t="inlineStr">
        <is>
          <t>未完成</t>
        </is>
      </c>
      <c r="T44" s="23" t="n"/>
      <c r="U44" s="23" t="n"/>
    </row>
    <row r="45">
      <c r="A45" s="24" t="n"/>
      <c r="B45" s="43" t="inlineStr">
        <is>
          <t>4.4.2</t>
        </is>
      </c>
      <c r="C45" s="31" t="inlineStr">
        <is>
          <t>召开上线动员大会</t>
        </is>
      </c>
      <c r="D45" s="26" t="n"/>
      <c r="E45" s="26" t="n"/>
      <c r="F45" s="28" t="n"/>
      <c r="G45" s="29" t="n"/>
      <c r="H45" s="29" t="n"/>
      <c r="I45" s="29" t="n"/>
      <c r="J45" s="44">
        <f>主计划!N81</f>
        <v/>
      </c>
      <c r="K45" s="44">
        <f>主计划!O81</f>
        <v/>
      </c>
      <c r="L45" s="29">
        <f>主计划!P81</f>
        <v/>
      </c>
      <c r="M45" s="29" t="n"/>
      <c r="N45" s="44">
        <f>MIN(N46:N47)</f>
        <v/>
      </c>
      <c r="O45" s="44">
        <f>MAX(O46:O47)</f>
        <v/>
      </c>
      <c r="P45" s="29">
        <f>NETWORKDAYS(N45,O45)</f>
        <v/>
      </c>
      <c r="Q45" s="28" t="inlineStr">
        <is>
          <t>周年根</t>
        </is>
      </c>
      <c r="R45" s="28" t="n"/>
      <c r="S45" s="32">
        <f>IF(COUNTIF(S46:S47,"未完成")=COUNTA(S46:S47),"未完成",IF(COUNTIF(S46:S47,"已完成")=COUNTA(S46:S47),"已完成","进行中"))</f>
        <v/>
      </c>
      <c r="T45" s="28" t="n"/>
      <c r="U45" s="23" t="n"/>
    </row>
    <row r="46">
      <c r="A46" s="24" t="n"/>
      <c r="B46" s="37" t="n"/>
      <c r="C46" s="36" t="n"/>
      <c r="D46" s="23" t="inlineStr">
        <is>
          <t>启动会材料制作与同行评审</t>
        </is>
      </c>
      <c r="E46" s="23" t="n"/>
      <c r="F46" s="23" t="n"/>
      <c r="G46" s="34" t="inlineStr">
        <is>
          <t>√</t>
        </is>
      </c>
      <c r="H46" s="34" t="inlineStr">
        <is>
          <t>√</t>
        </is>
      </c>
      <c r="I46" s="34" t="inlineStr">
        <is>
          <t>√</t>
        </is>
      </c>
      <c r="J46" s="45">
        <f>J45</f>
        <v/>
      </c>
      <c r="K46" s="45">
        <f>_xlfn.WORKDAY.INTL(J46,L46-1,1,法定节假日!$B$2:$B$67)</f>
        <v/>
      </c>
      <c r="L46" s="34" t="n">
        <v>5</v>
      </c>
      <c r="M46" s="34" t="n"/>
      <c r="N46" s="45" t="n"/>
      <c r="O46" s="45" t="n"/>
      <c r="P46" s="34">
        <f>NETWORKDAYS(N46,O46)</f>
        <v/>
      </c>
      <c r="Q46" s="23" t="n"/>
      <c r="R46" s="23" t="n"/>
      <c r="S46" s="37" t="inlineStr">
        <is>
          <t>未完成</t>
        </is>
      </c>
      <c r="T46" s="23" t="n"/>
      <c r="U46" s="23" t="n"/>
    </row>
    <row r="47" ht="15" customHeight="1" s="2">
      <c r="A47" s="24" t="n"/>
      <c r="B47" s="16" t="n"/>
      <c r="C47" s="16" t="n"/>
      <c r="D47" s="23" t="inlineStr">
        <is>
          <t>召开上线启动会</t>
        </is>
      </c>
      <c r="E47" s="23" t="n"/>
      <c r="F47" s="23" t="n"/>
      <c r="G47" s="34" t="n"/>
      <c r="H47" s="34" t="n"/>
      <c r="I47" s="23" t="n"/>
      <c r="J47" s="45">
        <f>_xlfn.WORKDAY.INTL(K46,1,1,法定节假日!$B$2:$B$67)</f>
        <v/>
      </c>
      <c r="K47" s="45">
        <f>_xlfn.WORKDAY.INTL(J47,L47-1,1,法定节假日!$B$2:$B$67)</f>
        <v/>
      </c>
      <c r="L47" s="34">
        <f>L45-SUM(L46:L46)</f>
        <v/>
      </c>
      <c r="M47" s="34" t="n"/>
      <c r="N47" s="45" t="n"/>
      <c r="O47" s="45" t="n"/>
      <c r="P47" s="34">
        <f>NETWORKDAYS(N47,O47)</f>
        <v/>
      </c>
      <c r="Q47" s="23" t="n"/>
      <c r="R47" s="23" t="n"/>
      <c r="S47" s="37" t="inlineStr">
        <is>
          <t>未完成</t>
        </is>
      </c>
      <c r="T47" s="23" t="n"/>
      <c r="U47" s="23" t="n"/>
    </row>
    <row r="48">
      <c r="A48" s="24" t="n"/>
      <c r="B48" s="43" t="inlineStr">
        <is>
          <t>4.4.3</t>
        </is>
      </c>
      <c r="C48" s="31" t="inlineStr">
        <is>
          <t>通知正式启用新系统</t>
        </is>
      </c>
      <c r="D48" s="26" t="n"/>
      <c r="E48" s="26" t="n"/>
      <c r="F48" s="28" t="n"/>
      <c r="G48" s="29" t="n"/>
      <c r="H48" s="29" t="n"/>
      <c r="I48" s="29" t="n"/>
      <c r="J48" s="44">
        <f>主计划!N82</f>
        <v/>
      </c>
      <c r="K48" s="44">
        <f>主计划!O82</f>
        <v/>
      </c>
      <c r="L48" s="29">
        <f>主计划!P82</f>
        <v/>
      </c>
      <c r="M48" s="29" t="n"/>
      <c r="N48" s="44">
        <f>MIN(N49:N49)</f>
        <v/>
      </c>
      <c r="O48" s="44">
        <f>MAX(O49:O49)</f>
        <v/>
      </c>
      <c r="P48" s="29">
        <f>NETWORKDAYS(N48,O48)</f>
        <v/>
      </c>
      <c r="Q48" s="28" t="inlineStr">
        <is>
          <t>陈本鸿</t>
        </is>
      </c>
      <c r="R48" s="28" t="n"/>
      <c r="S48" s="32">
        <f>IF(COUNTIF(S49:S49,"未完成")=COUNTA(S49:S49),"未完成",IF(COUNTIF(S49:S49,"已完成")=COUNTA(S49:S49),"已完成","进行中"))</f>
        <v/>
      </c>
      <c r="T48" s="28" t="n"/>
      <c r="U48" s="23" t="n"/>
    </row>
    <row r="49">
      <c r="A49" s="24" t="n"/>
      <c r="B49" s="37" t="n"/>
      <c r="C49" s="36" t="n"/>
      <c r="D49" s="33" t="inlineStr">
        <is>
          <t>通知正式启用新系统</t>
        </is>
      </c>
      <c r="E49" s="33" t="n"/>
      <c r="F49" s="23" t="n"/>
      <c r="G49" s="34" t="n"/>
      <c r="H49" s="34" t="n"/>
      <c r="I49" s="34" t="n"/>
      <c r="J49" s="45">
        <f>J48</f>
        <v/>
      </c>
      <c r="K49" s="45">
        <f>_xlfn.WORKDAY.INTL(J49,L49-1,1,法定节假日!$B$2:$B$67)</f>
        <v/>
      </c>
      <c r="L49" s="34">
        <f>L48</f>
        <v/>
      </c>
      <c r="M49" s="34" t="n"/>
      <c r="N49" s="45" t="n"/>
      <c r="O49" s="45" t="n"/>
      <c r="P49" s="34">
        <f>NETWORKDAYS(N49,O49)</f>
        <v/>
      </c>
      <c r="Q49" s="23" t="n"/>
      <c r="R49" s="23" t="n"/>
      <c r="S49" s="37" t="inlineStr">
        <is>
          <t>未完成</t>
        </is>
      </c>
      <c r="T49" s="23" t="n"/>
      <c r="U49" s="23" t="n"/>
    </row>
    <row r="50">
      <c r="A50" s="24" t="n"/>
      <c r="B50" s="43" t="inlineStr">
        <is>
          <t>4.4.4</t>
        </is>
      </c>
      <c r="C50" s="31" t="inlineStr">
        <is>
          <t>签署上线确认单</t>
        </is>
      </c>
      <c r="D50" s="26" t="n"/>
      <c r="E50" s="26" t="n"/>
      <c r="F50" s="28" t="n"/>
      <c r="G50" s="29" t="n"/>
      <c r="H50" s="29" t="n"/>
      <c r="I50" s="29" t="n"/>
      <c r="J50" s="44">
        <f>主计划!N83</f>
        <v/>
      </c>
      <c r="K50" s="44">
        <f>主计划!O83</f>
        <v/>
      </c>
      <c r="L50" s="29">
        <f>主计划!P83</f>
        <v/>
      </c>
      <c r="M50" s="29" t="n"/>
      <c r="N50" s="44">
        <f>MIN(N51:N51)</f>
        <v/>
      </c>
      <c r="O50" s="44">
        <f>MAX(O51:O51)</f>
        <v/>
      </c>
      <c r="P50" s="29">
        <f>NETWORKDAYS(N50,O50)</f>
        <v/>
      </c>
      <c r="Q50" s="28" t="inlineStr">
        <is>
          <t>周年根</t>
        </is>
      </c>
      <c r="R50" s="28" t="n"/>
      <c r="S50" s="32">
        <f>IF(COUNTIF(S51:S51,"未完成")=COUNTA(S51:S51),"未完成",IF(COUNTIF(S51:S51,"已完成")=COUNTA(S51:S51),"已完成","进行中"))</f>
        <v/>
      </c>
      <c r="T50" s="28" t="n"/>
      <c r="U50" s="23" t="n"/>
    </row>
    <row r="51">
      <c r="A51" s="24" t="n"/>
      <c r="B51" s="24" t="n"/>
      <c r="C51" s="33" t="n"/>
      <c r="D51" s="33" t="inlineStr">
        <is>
          <t>签署上线确认单</t>
        </is>
      </c>
      <c r="E51" s="33" t="n"/>
      <c r="F51" s="34" t="inlineStr">
        <is>
          <t>√</t>
        </is>
      </c>
      <c r="G51" s="34" t="n"/>
      <c r="H51" s="34" t="n"/>
      <c r="I51" s="34" t="inlineStr">
        <is>
          <t>√</t>
        </is>
      </c>
      <c r="J51" s="45">
        <f>J50</f>
        <v/>
      </c>
      <c r="K51" s="45">
        <f>_xlfn.WORKDAY.INTL(J51,L51-1,1,法定节假日!$B$2:$B$67)</f>
        <v/>
      </c>
      <c r="L51" s="34">
        <f>L50</f>
        <v/>
      </c>
      <c r="M51" s="34" t="n"/>
      <c r="N51" s="45" t="n"/>
      <c r="O51" s="45" t="n"/>
      <c r="P51" s="34">
        <f>NETWORKDAYS(N51,O51)</f>
        <v/>
      </c>
      <c r="Q51" s="23" t="n"/>
      <c r="R51" s="23" t="n"/>
      <c r="S51" s="37" t="inlineStr">
        <is>
          <t>未完成</t>
        </is>
      </c>
      <c r="T51" s="23" t="n"/>
      <c r="U51" s="23" t="n"/>
    </row>
  </sheetData>
  <mergeCells count="15">
    <mergeCell ref="U1:U2"/>
    <mergeCell ref="Q1:R1"/>
    <mergeCell ref="S1:T1"/>
    <mergeCell ref="J1:K1"/>
    <mergeCell ref="C1:C2"/>
    <mergeCell ref="B1:B2"/>
    <mergeCell ref="D1:D2"/>
    <mergeCell ref="E1:E2"/>
    <mergeCell ref="F1:F2"/>
    <mergeCell ref="I1:I2"/>
    <mergeCell ref="G1:G2"/>
    <mergeCell ref="M1:M2"/>
    <mergeCell ref="N1:O1"/>
    <mergeCell ref="H1:H2"/>
    <mergeCell ref="A1:A2"/>
  </mergeCells>
  <dataValidations count="2">
    <dataValidation sqref="M5 M7:M10 M12:M13 M15 M18:M19 M21 M24:M25 M27:M29 M31:M37 M39 M42:M44 M46:M47 M49 M51" showDropDown="0" showInputMessage="0" showErrorMessage="0" allowBlank="1" type="list">
      <formula1>"是"</formula1>
    </dataValidation>
    <dataValidation sqref="S5 S7:S10 S12:S13 S15 S18:S19 S21 S24:S25 S27:S29 S31:S37 S39 S42:S44 S46:S47 S49 S51" showDropDown="0" showInputMessage="0" showErrorMessage="0" allowBlank="1" type="list">
      <formula1>"未完成,进行中,已完成"</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U32"/>
  <sheetViews>
    <sheetView workbookViewId="0">
      <selection activeCell="E23" sqref="E23"/>
    </sheetView>
  </sheetViews>
  <sheetFormatPr baseColWidth="8" defaultColWidth="8.8359375" defaultRowHeight="14" customHeight="1" outlineLevelCol="0"/>
  <cols>
    <col width="23.1640625" customWidth="1" style="1" min="3" max="3"/>
    <col width="28.6640625" customWidth="1" style="1" min="4" max="4"/>
    <col width="26.5" customWidth="1" style="1" min="5" max="5"/>
    <col width="8.6640625" customWidth="1" style="1" min="6" max="9"/>
    <col width="10" customWidth="1" style="1" min="10" max="11"/>
    <col width="10" customWidth="1" style="12" min="12" max="12"/>
    <col width="11.3359375" customWidth="1" style="1" min="13" max="13"/>
    <col width="10" customWidth="1" style="1" min="14" max="16"/>
    <col width="9" customWidth="1" style="12" min="19" max="19"/>
  </cols>
  <sheetData>
    <row r="1" ht="16.5" customHeight="1" s="2">
      <c r="A1" s="13" t="inlineStr">
        <is>
          <t>二级流程
（场景）</t>
        </is>
      </c>
      <c r="B1" s="13" t="inlineStr">
        <is>
          <t>三级流程
（任务）</t>
        </is>
      </c>
      <c r="C1" s="14" t="inlineStr">
        <is>
          <t>任务名称</t>
        </is>
      </c>
      <c r="D1" s="14" t="inlineStr">
        <is>
          <t>WBS</t>
        </is>
      </c>
      <c r="E1" s="14" t="inlineStr">
        <is>
          <t>说明</t>
        </is>
      </c>
      <c r="F1" s="14" t="inlineStr">
        <is>
          <t>里程碑</t>
        </is>
      </c>
      <c r="G1" s="13" t="inlineStr">
        <is>
          <t>乙方
评审</t>
        </is>
      </c>
      <c r="H1" s="13" t="inlineStr">
        <is>
          <t>甲方
评审</t>
        </is>
      </c>
      <c r="I1" s="13" t="inlineStr">
        <is>
          <t>PMO
监控&amp;评审点</t>
        </is>
      </c>
      <c r="J1" s="15" t="inlineStr">
        <is>
          <t>计划时间</t>
        </is>
      </c>
      <c r="K1" s="121" t="n"/>
      <c r="L1" s="15" t="inlineStr">
        <is>
          <t>工作日</t>
        </is>
      </c>
      <c r="M1" s="15" t="inlineStr">
        <is>
          <t>是否与上个任务为前后置关系</t>
        </is>
      </c>
      <c r="N1" s="15" t="inlineStr">
        <is>
          <t>实际时间</t>
        </is>
      </c>
      <c r="O1" s="121" t="n"/>
      <c r="P1" s="15" t="inlineStr">
        <is>
          <t>工作日</t>
        </is>
      </c>
      <c r="Q1" s="15" t="inlineStr">
        <is>
          <t>执行人</t>
        </is>
      </c>
      <c r="R1" s="121" t="n"/>
      <c r="S1" s="15" t="inlineStr">
        <is>
          <t>进度</t>
        </is>
      </c>
      <c r="T1" s="121" t="n"/>
      <c r="U1" s="15" t="inlineStr">
        <is>
          <t>交付物</t>
        </is>
      </c>
    </row>
    <row r="2" ht="33" customHeight="1" s="2">
      <c r="A2" s="9" t="n"/>
      <c r="B2" s="9" t="n"/>
      <c r="C2" s="9" t="n"/>
      <c r="D2" s="9" t="n"/>
      <c r="E2" s="9" t="n"/>
      <c r="F2" s="9" t="n"/>
      <c r="G2" s="9" t="n"/>
      <c r="H2" s="9" t="n"/>
      <c r="I2" s="9" t="n"/>
      <c r="J2" s="15" t="inlineStr">
        <is>
          <t>计划开始</t>
        </is>
      </c>
      <c r="K2" s="15" t="inlineStr">
        <is>
          <t>计划结束</t>
        </is>
      </c>
      <c r="L2" s="15" t="inlineStr">
        <is>
          <t>计划天数</t>
        </is>
      </c>
      <c r="M2" s="9" t="n"/>
      <c r="N2" s="15" t="inlineStr">
        <is>
          <t>实际开始</t>
        </is>
      </c>
      <c r="O2" s="15" t="inlineStr">
        <is>
          <t>实际完成</t>
        </is>
      </c>
      <c r="P2" s="15" t="inlineStr">
        <is>
          <t>实际天数</t>
        </is>
      </c>
      <c r="Q2" s="15" t="inlineStr">
        <is>
          <t>主责</t>
        </is>
      </c>
      <c r="R2" s="15" t="inlineStr">
        <is>
          <t>协助或支持</t>
        </is>
      </c>
      <c r="S2" s="15" t="inlineStr">
        <is>
          <t>状态</t>
        </is>
      </c>
      <c r="T2" s="15" t="inlineStr">
        <is>
          <t>进度备注</t>
        </is>
      </c>
      <c r="U2" s="9" t="n"/>
    </row>
    <row r="3">
      <c r="A3" s="17" t="n">
        <v>5.1</v>
      </c>
      <c r="B3" s="18" t="n"/>
      <c r="C3" s="18" t="inlineStr">
        <is>
          <t>辅导与验收</t>
        </is>
      </c>
      <c r="D3" s="18" t="n"/>
      <c r="E3" s="18" t="n"/>
      <c r="F3" s="19" t="n"/>
      <c r="G3" s="20" t="n"/>
      <c r="H3" s="20" t="n"/>
      <c r="I3" s="19" t="n"/>
      <c r="J3" s="21">
        <f>主计划!N85</f>
        <v/>
      </c>
      <c r="K3" s="21">
        <f>主计划!O85</f>
        <v/>
      </c>
      <c r="L3" s="22">
        <f>主计划!P85</f>
        <v/>
      </c>
      <c r="M3" s="19" t="n"/>
      <c r="N3" s="21">
        <f>MIN(N4:N22)</f>
        <v/>
      </c>
      <c r="O3" s="21">
        <f>MAX(O4:O22)</f>
        <v/>
      </c>
      <c r="P3" s="20">
        <f>NETWORKDAYS(N3,O3)</f>
        <v/>
      </c>
      <c r="Q3" s="19" t="inlineStr">
        <is>
          <t>周年根</t>
        </is>
      </c>
      <c r="R3" s="19" t="n"/>
      <c r="S3" s="22">
        <f>IF(COUNTIF(S4:S22,"未完成")=COUNTA(S4:S22),"未完成",IF(COUNTIF(S4:S22,"已完成")=COUNTA(S4:S22),"已完成","进行中"))</f>
        <v/>
      </c>
      <c r="T3" s="19" t="n"/>
      <c r="U3" s="23" t="n"/>
    </row>
    <row r="4">
      <c r="A4" s="24" t="n"/>
      <c r="B4" s="25" t="inlineStr">
        <is>
          <t>5.1.1</t>
        </is>
      </c>
      <c r="C4" s="26" t="inlineStr">
        <is>
          <t>验收策略确认</t>
        </is>
      </c>
      <c r="D4" s="27" t="n"/>
      <c r="E4" s="26" t="n"/>
      <c r="F4" s="28" t="n"/>
      <c r="G4" s="29" t="n"/>
      <c r="H4" s="29" t="n"/>
      <c r="I4" s="29" t="inlineStr">
        <is>
          <t>√</t>
        </is>
      </c>
      <c r="J4" s="30">
        <f>主计划!N86</f>
        <v/>
      </c>
      <c r="K4" s="30">
        <f>主计划!O86</f>
        <v/>
      </c>
      <c r="L4" s="29">
        <f>主计划!P86</f>
        <v/>
      </c>
      <c r="M4" s="31" t="n"/>
      <c r="N4" s="30" t="n"/>
      <c r="O4" s="30" t="n"/>
      <c r="P4" s="29">
        <f>NETWORKDAYS(N4,O4)</f>
        <v/>
      </c>
      <c r="Q4" s="28" t="inlineStr">
        <is>
          <t>周年根</t>
        </is>
      </c>
      <c r="R4" s="28" t="n"/>
      <c r="S4" s="32" t="inlineStr">
        <is>
          <t>未完成</t>
        </is>
      </c>
      <c r="T4" s="28" t="n"/>
      <c r="U4" s="23" t="n"/>
    </row>
    <row r="5">
      <c r="A5" s="24" t="n"/>
      <c r="B5" s="25" t="inlineStr">
        <is>
          <t>5.1.2</t>
        </is>
      </c>
      <c r="C5" s="26" t="inlineStr">
        <is>
          <t>用户应用指导与定期复盘</t>
        </is>
      </c>
      <c r="D5" s="27" t="n"/>
      <c r="E5" s="26" t="n"/>
      <c r="F5" s="28" t="n"/>
      <c r="G5" s="29" t="n"/>
      <c r="H5" s="29" t="n"/>
      <c r="I5" s="29" t="n"/>
      <c r="J5" s="30">
        <f>主计划!N87</f>
        <v/>
      </c>
      <c r="K5" s="30">
        <f>主计划!O87</f>
        <v/>
      </c>
      <c r="L5" s="29">
        <f>主计划!P87</f>
        <v/>
      </c>
      <c r="M5" s="31" t="n"/>
      <c r="N5" s="30">
        <f>MIN(N6:N8)</f>
        <v/>
      </c>
      <c r="O5" s="30">
        <f>MAX(O6:O8)</f>
        <v/>
      </c>
      <c r="P5" s="29">
        <f>NETWORKDAYS(N5,O5)</f>
        <v/>
      </c>
      <c r="Q5" s="28" t="inlineStr">
        <is>
          <t>陈本鸿</t>
        </is>
      </c>
      <c r="R5" s="28" t="n"/>
      <c r="S5" s="32">
        <f>IF(COUNTIF(S6:S8,"未完成")=COUNTA(S6:S8),"未完成",IF(COUNTIF(S6:S8,"已完成")=COUNTA(S6:S8),"已完成","进行中"))</f>
        <v/>
      </c>
      <c r="T5" s="28" t="n"/>
      <c r="U5" s="23" t="n"/>
    </row>
    <row r="6" ht="15" customHeight="1" s="2">
      <c r="A6" s="24" t="n"/>
      <c r="B6" s="24" t="n"/>
      <c r="C6" s="33" t="n"/>
      <c r="D6" s="24" t="inlineStr">
        <is>
          <t>项目复盘材料制定</t>
        </is>
      </c>
      <c r="E6" s="33" t="n"/>
      <c r="F6" s="23" t="n"/>
      <c r="G6" s="34" t="n"/>
      <c r="H6" s="34" t="n"/>
      <c r="I6" s="34" t="n"/>
      <c r="J6" s="35">
        <f>J5</f>
        <v/>
      </c>
      <c r="K6" s="35">
        <f>_xlfn.WORKDAY.INTL(J6,L6-1,1,法定节假日!$B$2:$B$67)</f>
        <v/>
      </c>
      <c r="L6" s="34" t="n">
        <v>25</v>
      </c>
      <c r="M6" s="36" t="n"/>
      <c r="N6" s="35" t="n"/>
      <c r="O6" s="35" t="n"/>
      <c r="P6" s="34">
        <f>NETWORKDAYS(N6,O6)</f>
        <v/>
      </c>
      <c r="Q6" s="23" t="n"/>
      <c r="R6" s="23" t="n"/>
      <c r="S6" s="37" t="inlineStr">
        <is>
          <t>未完成</t>
        </is>
      </c>
      <c r="T6" s="23" t="n"/>
      <c r="U6" s="23" t="n"/>
    </row>
    <row r="7" ht="15" customHeight="1" s="2">
      <c r="A7" s="24" t="n"/>
      <c r="B7" s="24" t="n"/>
      <c r="C7" s="16" t="n"/>
      <c r="D7" s="33" t="inlineStr">
        <is>
          <t>组织召开复盘会议</t>
        </is>
      </c>
      <c r="E7" s="33" t="n"/>
      <c r="F7" s="23" t="n"/>
      <c r="G7" s="34" t="n"/>
      <c r="H7" s="34" t="n"/>
      <c r="I7" s="23" t="n"/>
      <c r="J7" s="35">
        <f>_xlfn.WORKDAY.INTL(K6,1,1,法定节假日!$B$2:$B$67)</f>
        <v/>
      </c>
      <c r="K7" s="35">
        <f>_xlfn.WORKDAY.INTL(J7,L7-1,1,法定节假日!$B$2:$B$67)</f>
        <v/>
      </c>
      <c r="L7" s="34" t="n">
        <v>11</v>
      </c>
      <c r="M7" s="36" t="n"/>
      <c r="N7" s="35" t="n"/>
      <c r="O7" s="35" t="n"/>
      <c r="P7" s="34">
        <f>NETWORKDAYS(N7,O7)</f>
        <v/>
      </c>
      <c r="Q7" s="23" t="n"/>
      <c r="R7" s="23" t="n"/>
      <c r="S7" s="37" t="inlineStr">
        <is>
          <t>未完成</t>
        </is>
      </c>
      <c r="T7" s="23" t="n"/>
      <c r="U7" s="23" t="n"/>
    </row>
    <row r="8" ht="15" customHeight="1" s="2">
      <c r="A8" s="24" t="n"/>
      <c r="B8" s="24" t="n"/>
      <c r="C8" s="16" t="n"/>
      <c r="D8" s="33" t="inlineStr">
        <is>
          <t>总结问题并发布指导手册</t>
        </is>
      </c>
      <c r="E8" s="33" t="n"/>
      <c r="F8" s="23" t="n"/>
      <c r="G8" s="34" t="n"/>
      <c r="H8" s="34" t="n"/>
      <c r="I8" s="23" t="n"/>
      <c r="J8" s="35">
        <f>_xlfn.WORKDAY.INTL(K7,1,1,法定节假日!$B$2:$B$67)</f>
        <v/>
      </c>
      <c r="K8" s="35">
        <f>_xlfn.WORKDAY.INTL(J8,L8-1,1,法定节假日!$B$2:$B$67)</f>
        <v/>
      </c>
      <c r="L8" s="34">
        <f>L5-SUM(L6:L7)</f>
        <v/>
      </c>
      <c r="M8" s="36" t="n"/>
      <c r="N8" s="35" t="n"/>
      <c r="O8" s="35" t="n"/>
      <c r="P8" s="34">
        <f>NETWORKDAYS(N8,O8)</f>
        <v/>
      </c>
      <c r="Q8" s="23" t="n"/>
      <c r="R8" s="23" t="n"/>
      <c r="S8" s="37" t="inlineStr">
        <is>
          <t>未完成</t>
        </is>
      </c>
      <c r="T8" s="23" t="n"/>
      <c r="U8" s="23" t="n"/>
    </row>
    <row r="9">
      <c r="A9" s="24" t="n"/>
      <c r="B9" s="25" t="inlineStr">
        <is>
          <t>5.1.3</t>
        </is>
      </c>
      <c r="C9" s="26" t="inlineStr">
        <is>
          <t>实施文档基线确认</t>
        </is>
      </c>
      <c r="D9" s="27" t="n"/>
      <c r="E9" s="26" t="n"/>
      <c r="F9" s="28" t="n"/>
      <c r="G9" s="29" t="n"/>
      <c r="H9" s="29" t="n"/>
      <c r="I9" s="29" t="n"/>
      <c r="J9" s="30">
        <f>主计划!N88</f>
        <v/>
      </c>
      <c r="K9" s="30">
        <f>主计划!O88</f>
        <v/>
      </c>
      <c r="L9" s="29">
        <f>主计划!P88</f>
        <v/>
      </c>
      <c r="M9" s="31" t="n"/>
      <c r="N9" s="30">
        <f>MIN(N10:N13)</f>
        <v/>
      </c>
      <c r="O9" s="30">
        <f>MAX(O10:O13)</f>
        <v/>
      </c>
      <c r="P9" s="29">
        <f>NETWORKDAYS(N9,O9)</f>
        <v/>
      </c>
      <c r="Q9" s="28" t="inlineStr">
        <is>
          <t>陈本鸿</t>
        </is>
      </c>
      <c r="R9" s="28" t="n"/>
      <c r="S9" s="32">
        <f>IF(COUNTIF(S10:S13,"未完成")=COUNTA(S10:S13),"未完成",IF(COUNTIF(S10:S13,"已完成")=COUNTA(S10:S13),"已完成","进行中"))</f>
        <v/>
      </c>
      <c r="T9" s="28" t="n"/>
      <c r="U9" s="23" t="n"/>
    </row>
    <row r="10">
      <c r="A10" s="24" t="n"/>
      <c r="B10" s="24" t="n"/>
      <c r="C10" s="36" t="n"/>
      <c r="D10" s="24" t="inlineStr">
        <is>
          <t>确认交付文档清单</t>
        </is>
      </c>
      <c r="E10" s="24" t="n"/>
      <c r="F10" s="23" t="n"/>
      <c r="G10" s="34" t="n"/>
      <c r="H10" s="34" t="n"/>
      <c r="I10" s="34" t="n"/>
      <c r="J10" s="35">
        <f>J9</f>
        <v/>
      </c>
      <c r="K10" s="35">
        <f>_xlfn.WORKDAY.INTL(J10,L10-1,1,法定节假日!$B$2:$B$67)</f>
        <v/>
      </c>
      <c r="L10" s="34" t="n">
        <v>15</v>
      </c>
      <c r="M10" s="36" t="n"/>
      <c r="N10" s="35" t="n"/>
      <c r="O10" s="35" t="n"/>
      <c r="P10" s="34">
        <f>NETWORKDAYS(N10,O10)</f>
        <v/>
      </c>
      <c r="Q10" s="23" t="n"/>
      <c r="R10" s="23" t="n"/>
      <c r="S10" s="37" t="inlineStr">
        <is>
          <t>未完成</t>
        </is>
      </c>
      <c r="T10" s="23" t="n"/>
      <c r="U10" s="23" t="n"/>
    </row>
    <row r="11" ht="15" customHeight="1" s="2">
      <c r="A11" s="24" t="n"/>
      <c r="B11" s="24" t="n"/>
      <c r="C11" s="16" t="n"/>
      <c r="D11" s="33" t="inlineStr">
        <is>
          <t>整理项目交付文档</t>
        </is>
      </c>
      <c r="E11" s="33" t="n"/>
      <c r="F11" s="23" t="n"/>
      <c r="G11" s="34" t="n"/>
      <c r="H11" s="34" t="n"/>
      <c r="I11" s="34" t="n"/>
      <c r="J11" s="35">
        <f>_xlfn.WORKDAY.INTL(K10,1,1,法定节假日!$B$2:$B$67)</f>
        <v/>
      </c>
      <c r="K11" s="35">
        <f>_xlfn.WORKDAY.INTL(J11,L11-1,1,法定节假日!$B$2:$B$67)</f>
        <v/>
      </c>
      <c r="L11" s="34" t="n">
        <v>15</v>
      </c>
      <c r="M11" s="36" t="n"/>
      <c r="N11" s="35" t="n"/>
      <c r="O11" s="35" t="n"/>
      <c r="P11" s="34">
        <f>NETWORKDAYS(N11,O11)</f>
        <v/>
      </c>
      <c r="Q11" s="23" t="n"/>
      <c r="R11" s="23" t="n"/>
      <c r="S11" s="37" t="inlineStr">
        <is>
          <t>未完成</t>
        </is>
      </c>
      <c r="T11" s="23" t="n"/>
      <c r="U11" s="23" t="n"/>
    </row>
    <row r="12" ht="15" customHeight="1" s="2">
      <c r="A12" s="24" t="n"/>
      <c r="B12" s="24" t="n"/>
      <c r="C12" s="16" t="n"/>
      <c r="D12" s="24" t="inlineStr">
        <is>
          <t>URS需求应答-状态确认</t>
        </is>
      </c>
      <c r="E12" s="24" t="n"/>
      <c r="F12" s="23" t="n"/>
      <c r="G12" s="34" t="n"/>
      <c r="H12" s="34" t="n"/>
      <c r="I12" s="23" t="n"/>
      <c r="J12" s="35">
        <f>_xlfn.WORKDAY.INTL(K11,1,1,法定节假日!$B$2:$B$67)</f>
        <v/>
      </c>
      <c r="K12" s="35">
        <f>_xlfn.WORKDAY.INTL(J12,L12-1,1,法定节假日!$B$2:$B$67)</f>
        <v/>
      </c>
      <c r="L12" s="34" t="n">
        <v>11</v>
      </c>
      <c r="M12" s="36" t="n"/>
      <c r="N12" s="35" t="n"/>
      <c r="O12" s="35" t="n"/>
      <c r="P12" s="34">
        <f>NETWORKDAYS(N12,O12)</f>
        <v/>
      </c>
      <c r="Q12" s="23" t="n"/>
      <c r="R12" s="23" t="n"/>
      <c r="S12" s="37" t="inlineStr">
        <is>
          <t>未完成</t>
        </is>
      </c>
      <c r="T12" s="23" t="n"/>
      <c r="U12" s="23" t="n"/>
    </row>
    <row r="13" ht="15" customHeight="1" s="2">
      <c r="A13" s="24" t="n"/>
      <c r="B13" s="24" t="n"/>
      <c r="C13" s="16" t="n"/>
      <c r="D13" s="33" t="inlineStr">
        <is>
          <t>项目文档基线确认</t>
        </is>
      </c>
      <c r="E13" s="33" t="n"/>
      <c r="F13" s="23" t="n"/>
      <c r="G13" s="34" t="n"/>
      <c r="H13" s="34" t="n"/>
      <c r="I13" s="23" t="n"/>
      <c r="J13" s="35">
        <f>_xlfn.WORKDAY.INTL(K12,1,1,法定节假日!$B$2:$B$67)</f>
        <v/>
      </c>
      <c r="K13" s="35">
        <f>_xlfn.WORKDAY.INTL(J13,L13-1,1,法定节假日!$B$2:$B$67)</f>
        <v/>
      </c>
      <c r="L13" s="34">
        <f>L9-SUM(L10:L12)</f>
        <v/>
      </c>
      <c r="M13" s="36" t="n"/>
      <c r="N13" s="35" t="n"/>
      <c r="O13" s="35" t="n"/>
      <c r="P13" s="34">
        <f>NETWORKDAYS(N13,O13)</f>
        <v/>
      </c>
      <c r="Q13" s="23" t="n"/>
      <c r="R13" s="23" t="n"/>
      <c r="S13" s="37" t="inlineStr">
        <is>
          <t>未完成</t>
        </is>
      </c>
      <c r="T13" s="23" t="n"/>
      <c r="U13" s="23" t="n"/>
    </row>
    <row r="14">
      <c r="A14" s="24" t="n"/>
      <c r="B14" s="25" t="inlineStr">
        <is>
          <t>5.1.4</t>
        </is>
      </c>
      <c r="C14" s="26" t="inlineStr">
        <is>
          <t>项目验收评审</t>
        </is>
      </c>
      <c r="D14" s="27" t="n"/>
      <c r="E14" s="26" t="n"/>
      <c r="F14" s="28" t="n"/>
      <c r="G14" s="29" t="n"/>
      <c r="H14" s="29" t="n"/>
      <c r="I14" s="29" t="n"/>
      <c r="J14" s="30">
        <f>主计划!N89</f>
        <v/>
      </c>
      <c r="K14" s="30">
        <f>主计划!O89</f>
        <v/>
      </c>
      <c r="L14" s="29">
        <f>主计划!P89</f>
        <v/>
      </c>
      <c r="M14" s="31" t="n"/>
      <c r="N14" s="30">
        <f>MIN(N15:N16)</f>
        <v/>
      </c>
      <c r="O14" s="30">
        <f>MAX(O15:O16)</f>
        <v/>
      </c>
      <c r="P14" s="29">
        <f>NETWORKDAYS(N14,O14)</f>
        <v/>
      </c>
      <c r="Q14" s="28" t="inlineStr">
        <is>
          <t>周年根</t>
        </is>
      </c>
      <c r="R14" s="28" t="n"/>
      <c r="S14" s="32">
        <f>IF(COUNTIF(S15:S16,"未完成")=COUNTA(S15:S16),"未完成",IF(COUNTIF(S15:S16,"已完成")=COUNTA(S15:S16),"已完成","进行中"))</f>
        <v/>
      </c>
      <c r="T14" s="28" t="n"/>
      <c r="U14" s="23" t="n"/>
    </row>
    <row r="15">
      <c r="A15" s="24" t="n"/>
      <c r="B15" s="24" t="n"/>
      <c r="C15" s="36" t="n"/>
      <c r="D15" s="33" t="inlineStr">
        <is>
          <t>准备验收评审材料</t>
        </is>
      </c>
      <c r="E15" s="33" t="n"/>
      <c r="F15" s="23" t="n"/>
      <c r="G15" s="34" t="inlineStr">
        <is>
          <t>√</t>
        </is>
      </c>
      <c r="H15" s="34" t="inlineStr">
        <is>
          <t>√</t>
        </is>
      </c>
      <c r="I15" s="34" t="inlineStr">
        <is>
          <t>√</t>
        </is>
      </c>
      <c r="J15" s="35">
        <f>J14</f>
        <v/>
      </c>
      <c r="K15" s="35">
        <f>_xlfn.WORKDAY.INTL(J15,L15-1,1,法定节假日!$B$2:$B$67)</f>
        <v/>
      </c>
      <c r="L15" s="34" t="n">
        <v>37</v>
      </c>
      <c r="M15" s="36" t="n"/>
      <c r="N15" s="35" t="n"/>
      <c r="O15" s="35" t="n"/>
      <c r="P15" s="34">
        <f>NETWORKDAYS(N15,O15)</f>
        <v/>
      </c>
      <c r="Q15" s="23" t="n"/>
      <c r="R15" s="23" t="n"/>
      <c r="S15" s="37" t="inlineStr">
        <is>
          <t>未完成</t>
        </is>
      </c>
      <c r="T15" s="23" t="n"/>
      <c r="U15" s="23" t="n"/>
    </row>
    <row r="16" ht="15" customHeight="1" s="2">
      <c r="A16" s="24" t="n"/>
      <c r="B16" s="24" t="n"/>
      <c r="C16" s="16" t="n"/>
      <c r="D16" s="33" t="inlineStr">
        <is>
          <t>组织项目验收评审</t>
        </is>
      </c>
      <c r="E16" s="33" t="n"/>
      <c r="F16" s="23" t="n"/>
      <c r="G16" s="23" t="n"/>
      <c r="H16" s="34" t="inlineStr">
        <is>
          <t>√</t>
        </is>
      </c>
      <c r="I16" s="23" t="n"/>
      <c r="J16" s="35">
        <f>_xlfn.WORKDAY.INTL(K15,1,1,法定节假日!$B$2:$B$67)</f>
        <v/>
      </c>
      <c r="K16" s="35">
        <f>_xlfn.WORKDAY.INTL(J16,L16-1,1,法定节假日!$B$2:$B$67)</f>
        <v/>
      </c>
      <c r="L16" s="34">
        <f>L14-SUM(L15:L15)</f>
        <v/>
      </c>
      <c r="M16" s="36" t="n"/>
      <c r="N16" s="35" t="n"/>
      <c r="O16" s="35" t="n"/>
      <c r="P16" s="34">
        <f>NETWORKDAYS(N16,O16)</f>
        <v/>
      </c>
      <c r="Q16" s="23" t="n"/>
      <c r="R16" s="23" t="n"/>
      <c r="S16" s="37" t="inlineStr">
        <is>
          <t>未完成</t>
        </is>
      </c>
      <c r="T16" s="23" t="n"/>
      <c r="U16" s="23" t="n"/>
    </row>
    <row r="17">
      <c r="A17" s="24" t="n"/>
      <c r="B17" s="25" t="inlineStr">
        <is>
          <t>5.1.5</t>
        </is>
      </c>
      <c r="C17" s="26" t="inlineStr">
        <is>
          <t>召开项目总结表彰</t>
        </is>
      </c>
      <c r="D17" s="27" t="n"/>
      <c r="E17" s="26" t="n"/>
      <c r="F17" s="28" t="n"/>
      <c r="G17" s="29" t="n"/>
      <c r="H17" s="29" t="n"/>
      <c r="I17" s="29" t="n"/>
      <c r="J17" s="30">
        <f>主计划!N90</f>
        <v/>
      </c>
      <c r="K17" s="30">
        <f>主计划!O90</f>
        <v/>
      </c>
      <c r="L17" s="29">
        <f>主计划!P90</f>
        <v/>
      </c>
      <c r="M17" s="31" t="n"/>
      <c r="N17" s="30">
        <f>MIN(N18:N20)</f>
        <v/>
      </c>
      <c r="O17" s="30">
        <f>MAX(O18:O20)</f>
        <v/>
      </c>
      <c r="P17" s="29">
        <f>NETWORKDAYS(N17,O17)</f>
        <v/>
      </c>
      <c r="Q17" s="28" t="inlineStr">
        <is>
          <t>周年根</t>
        </is>
      </c>
      <c r="R17" s="28" t="n"/>
      <c r="S17" s="32">
        <f>IF(COUNTIF(S18:S20,"未完成")=COUNTA(S18:S20),"未完成",IF(COUNTIF(S18:S20,"已完成")=COUNTA(S18:S20),"已完成","进行中"))</f>
        <v/>
      </c>
      <c r="T17" s="28" t="n"/>
      <c r="U17" s="23" t="n"/>
    </row>
    <row r="18">
      <c r="A18" s="24" t="n"/>
      <c r="B18" s="24" t="n"/>
      <c r="C18" s="36" t="n"/>
      <c r="D18" s="23" t="inlineStr">
        <is>
          <t>会议流程讨论</t>
        </is>
      </c>
      <c r="E18" s="23" t="n"/>
      <c r="F18" s="23" t="n"/>
      <c r="G18" s="34" t="n"/>
      <c r="H18" s="34" t="n"/>
      <c r="I18" s="34" t="n"/>
      <c r="J18" s="35">
        <f>J17</f>
        <v/>
      </c>
      <c r="K18" s="35">
        <f>_xlfn.WORKDAY.INTL(J18,L18-1,1,法定节假日!$B$2:$B$67)</f>
        <v/>
      </c>
      <c r="L18" s="34" t="n">
        <v>12</v>
      </c>
      <c r="M18" s="36" t="n"/>
      <c r="N18" s="35" t="n"/>
      <c r="O18" s="35" t="n"/>
      <c r="P18" s="34">
        <f>NETWORKDAYS(N18,O18)</f>
        <v/>
      </c>
      <c r="Q18" s="23" t="n"/>
      <c r="R18" s="23" t="n"/>
      <c r="S18" s="37" t="inlineStr">
        <is>
          <t>未完成</t>
        </is>
      </c>
      <c r="T18" s="23" t="n"/>
      <c r="U18" s="23" t="n"/>
    </row>
    <row r="19" ht="15" customHeight="1" s="2">
      <c r="A19" s="24" t="n"/>
      <c r="B19" s="24" t="n"/>
      <c r="C19" s="16" t="n"/>
      <c r="D19" s="33" t="inlineStr">
        <is>
          <t>表彰会材料制作与同行评审</t>
        </is>
      </c>
      <c r="E19" s="33" t="n"/>
      <c r="F19" s="23" t="n"/>
      <c r="G19" s="34" t="inlineStr">
        <is>
          <t>√</t>
        </is>
      </c>
      <c r="H19" s="34" t="inlineStr">
        <is>
          <t>√</t>
        </is>
      </c>
      <c r="I19" s="34" t="inlineStr">
        <is>
          <t>√</t>
        </is>
      </c>
      <c r="J19" s="35">
        <f>_xlfn.WORKDAY.INTL(K18,1,1,法定节假日!$B$2:$B$67)</f>
        <v/>
      </c>
      <c r="K19" s="35">
        <f>_xlfn.WORKDAY.INTL(J19,L19-1,1,法定节假日!$B$2:$B$67)</f>
        <v/>
      </c>
      <c r="L19" s="34" t="n">
        <v>28</v>
      </c>
      <c r="M19" s="36" t="n"/>
      <c r="N19" s="35" t="n"/>
      <c r="O19" s="35" t="n"/>
      <c r="P19" s="34">
        <f>NETWORKDAYS(N19,O19)</f>
        <v/>
      </c>
      <c r="Q19" s="23" t="n"/>
      <c r="R19" s="23" t="n"/>
      <c r="S19" s="37" t="inlineStr">
        <is>
          <t>未完成</t>
        </is>
      </c>
      <c r="T19" s="23" t="n"/>
      <c r="U19" s="23" t="n"/>
    </row>
    <row r="20" ht="15" customHeight="1" s="2">
      <c r="A20" s="24" t="n"/>
      <c r="B20" s="24" t="n"/>
      <c r="C20" s="16" t="n"/>
      <c r="D20" s="33" t="inlineStr">
        <is>
          <t>召开项目总结表彰会</t>
        </is>
      </c>
      <c r="E20" s="33" t="n"/>
      <c r="F20" s="23" t="n"/>
      <c r="G20" s="34" t="n"/>
      <c r="H20" s="23" t="n"/>
      <c r="I20" s="23" t="n"/>
      <c r="J20" s="35">
        <f>_xlfn.WORKDAY.INTL(K19,1,1,法定节假日!$B$2:$B$67)</f>
        <v/>
      </c>
      <c r="K20" s="35">
        <f>_xlfn.WORKDAY.INTL(J20,L20-1,1,法定节假日!$B$2:$B$67)</f>
        <v/>
      </c>
      <c r="L20" s="34">
        <f>L17-SUM(L18:L19)</f>
        <v/>
      </c>
      <c r="M20" s="36" t="n"/>
      <c r="N20" s="35" t="n"/>
      <c r="O20" s="35" t="n"/>
      <c r="P20" s="34">
        <f>NETWORKDAYS(N20,O20)</f>
        <v/>
      </c>
      <c r="Q20" s="23" t="n"/>
      <c r="R20" s="23" t="n"/>
      <c r="S20" s="37" t="inlineStr">
        <is>
          <t>未完成</t>
        </is>
      </c>
      <c r="T20" s="23" t="n"/>
      <c r="U20" s="23" t="n"/>
    </row>
    <row r="21">
      <c r="A21" s="24" t="n"/>
      <c r="B21" s="25" t="inlineStr">
        <is>
          <t>5.1.6</t>
        </is>
      </c>
      <c r="C21" s="26" t="inlineStr">
        <is>
          <t>签署验收确认单</t>
        </is>
      </c>
      <c r="D21" s="27" t="n"/>
      <c r="E21" s="26" t="n"/>
      <c r="F21" s="28" t="n"/>
      <c r="G21" s="29" t="n"/>
      <c r="H21" s="29" t="n"/>
      <c r="I21" s="29" t="n"/>
      <c r="J21" s="30">
        <f>主计划!N91</f>
        <v/>
      </c>
      <c r="K21" s="30">
        <f>主计划!O91</f>
        <v/>
      </c>
      <c r="L21" s="29">
        <f>主计划!P91</f>
        <v/>
      </c>
      <c r="M21" s="31" t="n"/>
      <c r="N21" s="30">
        <f>MIN(N22:N22)</f>
        <v/>
      </c>
      <c r="O21" s="30">
        <f>MAX(O22:O22)</f>
        <v/>
      </c>
      <c r="P21" s="29">
        <f>NETWORKDAYS(N21,O21)</f>
        <v/>
      </c>
      <c r="Q21" s="28" t="inlineStr">
        <is>
          <t>周年根</t>
        </is>
      </c>
      <c r="R21" s="28" t="n"/>
      <c r="S21" s="32">
        <f>IF(COUNTIF(S22:S22,"未完成")=COUNTA(S22:S22),"未完成",IF(COUNTIF(S22:S22,"已完成")=COUNTA(S22:S22),"已完成","进行中"))</f>
        <v/>
      </c>
      <c r="T21" s="28" t="n"/>
      <c r="U21" s="23" t="n"/>
    </row>
    <row r="22">
      <c r="A22" s="24" t="n"/>
      <c r="B22" s="24" t="n"/>
      <c r="C22" s="33" t="n"/>
      <c r="D22" s="33" t="inlineStr">
        <is>
          <t>签署验收确认单</t>
        </is>
      </c>
      <c r="E22" s="33" t="n"/>
      <c r="F22" s="34" t="inlineStr">
        <is>
          <t>√</t>
        </is>
      </c>
      <c r="G22" s="34" t="n"/>
      <c r="H22" s="34" t="n"/>
      <c r="I22" s="34" t="inlineStr">
        <is>
          <t>√</t>
        </is>
      </c>
      <c r="J22" s="35">
        <f>J21</f>
        <v/>
      </c>
      <c r="K22" s="35">
        <f>_xlfn.WORKDAY.INTL(J22,L22-1,1,法定节假日!$B$2:$B$67)</f>
        <v/>
      </c>
      <c r="L22" s="34">
        <f>L21</f>
        <v/>
      </c>
      <c r="M22" s="36" t="n"/>
      <c r="N22" s="35" t="n"/>
      <c r="O22" s="35" t="n"/>
      <c r="P22" s="34">
        <f>NETWORKDAYS(N22,O22)</f>
        <v/>
      </c>
      <c r="Q22" s="23" t="n"/>
      <c r="R22" s="23" t="n"/>
      <c r="S22" s="37" t="inlineStr">
        <is>
          <t>未完成</t>
        </is>
      </c>
      <c r="T22" s="23" t="n"/>
      <c r="U22" s="23" t="n"/>
    </row>
    <row r="23">
      <c r="A23" s="17" t="n">
        <v>5.2</v>
      </c>
      <c r="B23" s="18" t="n"/>
      <c r="C23" s="18" t="inlineStr">
        <is>
          <t>项目收尾</t>
        </is>
      </c>
      <c r="D23" s="18" t="n"/>
      <c r="E23" s="18" t="n"/>
      <c r="F23" s="19" t="n"/>
      <c r="G23" s="20" t="n"/>
      <c r="H23" s="20" t="n"/>
      <c r="I23" s="19" t="n"/>
      <c r="J23" s="21">
        <f>主计划!N92</f>
        <v/>
      </c>
      <c r="K23" s="21">
        <f>主计划!O92</f>
        <v/>
      </c>
      <c r="L23" s="22" t="n"/>
      <c r="M23" s="19" t="n"/>
      <c r="N23" s="21">
        <f>MIN(N24:N32)</f>
        <v/>
      </c>
      <c r="O23" s="21">
        <f>MAX(O24:O32)</f>
        <v/>
      </c>
      <c r="P23" s="20">
        <f>NETWORKDAYS(N23,O23)</f>
        <v/>
      </c>
      <c r="Q23" s="19" t="inlineStr">
        <is>
          <t>周年根</t>
        </is>
      </c>
      <c r="R23" s="19" t="n"/>
      <c r="S23" s="22">
        <f>IF(COUNTIF(S24:S32,"未完成")=COUNTA(S24:S32),"未完成",IF(COUNTIF(S24:S32,"已完成")=COUNTA(S24:S32),"已完成","进行中"))</f>
        <v/>
      </c>
      <c r="T23" s="19" t="n"/>
      <c r="U23" s="23" t="n"/>
    </row>
    <row r="24">
      <c r="A24" s="24" t="n"/>
      <c r="B24" s="25" t="inlineStr">
        <is>
          <t>5.2.1</t>
        </is>
      </c>
      <c r="C24" s="26" t="inlineStr">
        <is>
          <t>移交项目资料给客户</t>
        </is>
      </c>
      <c r="D24" s="27" t="n"/>
      <c r="E24" s="26" t="n"/>
      <c r="F24" s="28" t="n"/>
      <c r="G24" s="29" t="n"/>
      <c r="H24" s="29" t="n"/>
      <c r="I24" s="29" t="n"/>
      <c r="J24" s="30">
        <f>主计划!N93</f>
        <v/>
      </c>
      <c r="K24" s="30">
        <f>主计划!O93</f>
        <v/>
      </c>
      <c r="L24" s="29">
        <f>主计划!P93</f>
        <v/>
      </c>
      <c r="M24" s="31" t="n"/>
      <c r="N24" s="30" t="n"/>
      <c r="O24" s="30" t="n"/>
      <c r="P24" s="29">
        <f>NETWORKDAYS(N24,O24)</f>
        <v/>
      </c>
      <c r="Q24" s="28" t="inlineStr">
        <is>
          <t>陈本鸿</t>
        </is>
      </c>
      <c r="R24" s="28" t="n"/>
      <c r="S24" s="32" t="inlineStr">
        <is>
          <t>未完成</t>
        </is>
      </c>
      <c r="T24" s="28" t="n"/>
      <c r="U24" s="23" t="n"/>
    </row>
    <row r="25">
      <c r="A25" s="24" t="n"/>
      <c r="B25" s="25" t="inlineStr">
        <is>
          <t>5.2.2</t>
        </is>
      </c>
      <c r="C25" s="26" t="inlineStr">
        <is>
          <t>内部分享与总结归档</t>
        </is>
      </c>
      <c r="D25" s="27" t="n"/>
      <c r="E25" s="26" t="n"/>
      <c r="F25" s="28" t="n"/>
      <c r="G25" s="29" t="n"/>
      <c r="H25" s="29" t="n"/>
      <c r="I25" s="29" t="n"/>
      <c r="J25" s="30">
        <f>主计划!N94</f>
        <v/>
      </c>
      <c r="K25" s="30">
        <f>主计划!O94</f>
        <v/>
      </c>
      <c r="L25" s="29">
        <f>主计划!P94</f>
        <v/>
      </c>
      <c r="M25" s="31" t="n"/>
      <c r="N25" s="30">
        <f>MIN(N26:N28)</f>
        <v/>
      </c>
      <c r="O25" s="30">
        <f>MAX(O26:O28)</f>
        <v/>
      </c>
      <c r="P25" s="29">
        <f>NETWORKDAYS(N25,O25)</f>
        <v/>
      </c>
      <c r="Q25" s="28" t="inlineStr">
        <is>
          <t>陈本鸿</t>
        </is>
      </c>
      <c r="R25" s="28" t="n"/>
      <c r="S25" s="32">
        <f>IF(COUNTIF(S26:S28,"未完成")=COUNTA(S26:S28),"未完成",IF(COUNTIF(S26:S28,"已完成")=COUNTA(S26:S28),"已完成","进行中"))</f>
        <v/>
      </c>
      <c r="T25" s="28" t="n"/>
      <c r="U25" s="23" t="n"/>
    </row>
    <row r="26">
      <c r="A26" s="24" t="n"/>
      <c r="B26" s="24" t="n"/>
      <c r="C26" s="36" t="n"/>
      <c r="D26" s="33" t="inlineStr">
        <is>
          <t>系统功能分享-内部</t>
        </is>
      </c>
      <c r="E26" s="33" t="n"/>
      <c r="F26" s="23" t="n"/>
      <c r="G26" s="34" t="n"/>
      <c r="H26" s="34" t="n"/>
      <c r="I26" s="38" t="inlineStr">
        <is>
          <t>√</t>
        </is>
      </c>
      <c r="J26" s="35">
        <f>J25</f>
        <v/>
      </c>
      <c r="K26" s="35">
        <f>_xlfn.WORKDAY.INTL(J26,L26-1,1,法定节假日!$B$2:$B$67)</f>
        <v/>
      </c>
      <c r="L26" s="34" t="n">
        <v>3</v>
      </c>
      <c r="M26" s="36" t="n"/>
      <c r="N26" s="35" t="n"/>
      <c r="O26" s="35" t="n"/>
      <c r="P26" s="34">
        <f>NETWORKDAYS(N26,O26)</f>
        <v/>
      </c>
      <c r="Q26" s="23" t="n"/>
      <c r="R26" s="23" t="n"/>
      <c r="S26" s="37" t="inlineStr">
        <is>
          <t>未完成</t>
        </is>
      </c>
      <c r="T26" s="23" t="n"/>
      <c r="U26" s="23" t="n"/>
    </row>
    <row r="27" ht="15" customHeight="1" s="2">
      <c r="A27" s="24" t="n"/>
      <c r="B27" s="24" t="n"/>
      <c r="C27" s="16" t="n"/>
      <c r="D27" s="33" t="inlineStr">
        <is>
          <t>项目组工作总结-内部</t>
        </is>
      </c>
      <c r="E27" s="33" t="n"/>
      <c r="F27" s="23" t="n"/>
      <c r="G27" s="34" t="n"/>
      <c r="H27" s="34" t="n"/>
      <c r="I27" s="34" t="inlineStr">
        <is>
          <t>√</t>
        </is>
      </c>
      <c r="J27" s="35">
        <f>_xlfn.WORKDAY.INTL(K26,1,1,法定节假日!$B$2:$B$67)</f>
        <v/>
      </c>
      <c r="K27" s="35">
        <f>_xlfn.WORKDAY.INTL(J27,L27-1,1,法定节假日!$B$2:$B$67)</f>
        <v/>
      </c>
      <c r="L27" s="34" t="n">
        <v>2</v>
      </c>
      <c r="M27" s="36" t="n"/>
      <c r="N27" s="35" t="n"/>
      <c r="O27" s="35" t="n"/>
      <c r="P27" s="34">
        <f>NETWORKDAYS(N27,O27)</f>
        <v/>
      </c>
      <c r="Q27" s="23" t="n"/>
      <c r="R27" s="23" t="n"/>
      <c r="S27" s="37" t="inlineStr">
        <is>
          <t>未完成</t>
        </is>
      </c>
      <c r="T27" s="23" t="n"/>
      <c r="U27" s="23" t="n"/>
    </row>
    <row r="28" ht="15" customHeight="1" s="2">
      <c r="A28" s="24" t="n"/>
      <c r="B28" s="24" t="n"/>
      <c r="C28" s="16" t="n"/>
      <c r="D28" s="33" t="inlineStr">
        <is>
          <t>更新组织过程资产-内部</t>
        </is>
      </c>
      <c r="E28" s="33" t="n"/>
      <c r="F28" s="23" t="n"/>
      <c r="G28" s="34" t="n"/>
      <c r="H28" s="34" t="n"/>
      <c r="I28" s="34" t="inlineStr">
        <is>
          <t>√</t>
        </is>
      </c>
      <c r="J28" s="35">
        <f>_xlfn.WORKDAY.INTL(K27,1,1,法定节假日!$B$2:$B$67)</f>
        <v/>
      </c>
      <c r="K28" s="35">
        <f>_xlfn.WORKDAY.INTL(J28,L28-1,1,法定节假日!$B$2:$B$67)</f>
        <v/>
      </c>
      <c r="L28" s="34">
        <f>L25-SUM(L26:L27)</f>
        <v/>
      </c>
      <c r="M28" s="36" t="n"/>
      <c r="N28" s="35" t="n"/>
      <c r="O28" s="35" t="n"/>
      <c r="P28" s="34">
        <f>NETWORKDAYS(N28,O28)</f>
        <v/>
      </c>
      <c r="Q28" s="23" t="n"/>
      <c r="R28" s="23" t="n"/>
      <c r="S28" s="37" t="inlineStr">
        <is>
          <t>未完成</t>
        </is>
      </c>
      <c r="T28" s="23" t="n"/>
      <c r="U28" s="23" t="n"/>
    </row>
    <row r="29">
      <c r="A29" s="24" t="n"/>
      <c r="B29" s="25" t="inlineStr">
        <is>
          <t>5.2.3</t>
        </is>
      </c>
      <c r="C29" s="26" t="inlineStr">
        <is>
          <t>奖惩兑现与团队解散</t>
        </is>
      </c>
      <c r="D29" s="27" t="n"/>
      <c r="E29" s="26" t="n"/>
      <c r="F29" s="28" t="n"/>
      <c r="G29" s="29" t="n"/>
      <c r="H29" s="29" t="n"/>
      <c r="I29" s="29" t="n"/>
      <c r="J29" s="30">
        <f>主计划!N95</f>
        <v/>
      </c>
      <c r="K29" s="30">
        <f>主计划!O95</f>
        <v/>
      </c>
      <c r="L29" s="29">
        <f>主计划!P95</f>
        <v/>
      </c>
      <c r="M29" s="31" t="n"/>
      <c r="N29" s="30" t="n"/>
      <c r="O29" s="30" t="n"/>
      <c r="P29" s="29">
        <f>NETWORKDAYS(N29,O29)</f>
        <v/>
      </c>
      <c r="Q29" s="28" t="inlineStr">
        <is>
          <t>周年根</t>
        </is>
      </c>
      <c r="R29" s="28" t="n"/>
      <c r="S29" s="32" t="inlineStr">
        <is>
          <t>未完成</t>
        </is>
      </c>
      <c r="T29" s="28" t="n"/>
      <c r="U29" s="23" t="n"/>
    </row>
    <row r="30">
      <c r="A30" s="24" t="n"/>
      <c r="B30" s="25" t="inlineStr">
        <is>
          <t>5.2.4</t>
        </is>
      </c>
      <c r="C30" s="26" t="inlineStr">
        <is>
          <t>实施转持续服务交接</t>
        </is>
      </c>
      <c r="D30" s="27" t="n"/>
      <c r="E30" s="26" t="n"/>
      <c r="F30" s="28" t="n"/>
      <c r="G30" s="29" t="n"/>
      <c r="H30" s="29" t="n"/>
      <c r="I30" s="29" t="n"/>
      <c r="J30" s="30">
        <f>主计划!N96</f>
        <v/>
      </c>
      <c r="K30" s="30">
        <f>主计划!O96</f>
        <v/>
      </c>
      <c r="L30" s="29">
        <f>主计划!P96</f>
        <v/>
      </c>
      <c r="M30" s="31" t="n"/>
      <c r="N30" s="30">
        <f>MIN(N31:N32)</f>
        <v/>
      </c>
      <c r="O30" s="30">
        <f>MAX(O31:O32)</f>
        <v/>
      </c>
      <c r="P30" s="29">
        <f>NETWORKDAYS(N30,O30)</f>
        <v/>
      </c>
      <c r="Q30" s="28" t="inlineStr">
        <is>
          <t>陈本鸿</t>
        </is>
      </c>
      <c r="R30" s="28" t="n"/>
      <c r="S30" s="32">
        <f>IF(COUNTIF(S31:S32,"未完成")=COUNTA(S31:S32),"未完成",IF(COUNTIF(S31:S32,"已完成")=COUNTA(S31:S32),"已完成","进行中"))</f>
        <v/>
      </c>
      <c r="T30" s="28" t="n"/>
      <c r="U30" s="23" t="n"/>
    </row>
    <row r="31">
      <c r="A31" s="24" t="n"/>
      <c r="B31" s="24" t="n"/>
      <c r="C31" s="36" t="n"/>
      <c r="D31" s="33" t="inlineStr">
        <is>
          <t>实施转持续服务交接</t>
        </is>
      </c>
      <c r="E31" s="33" t="n"/>
      <c r="F31" s="23" t="n"/>
      <c r="G31" s="34" t="n"/>
      <c r="H31" s="34" t="n"/>
      <c r="I31" s="34" t="inlineStr">
        <is>
          <t>√</t>
        </is>
      </c>
      <c r="J31" s="35">
        <f>J30</f>
        <v/>
      </c>
      <c r="K31" s="35">
        <f>_xlfn.WORKDAY.INTL(J31,L31-1,1,法定节假日!$B$2:$B$67)</f>
        <v/>
      </c>
      <c r="L31" s="34" t="n">
        <v>4</v>
      </c>
      <c r="M31" s="36" t="n"/>
      <c r="N31" s="35" t="n"/>
      <c r="O31" s="35" t="n"/>
      <c r="P31" s="34">
        <f>NETWORKDAYS(N31,O31)</f>
        <v/>
      </c>
      <c r="Q31" s="23" t="n"/>
      <c r="R31" s="23" t="n"/>
      <c r="S31" s="37" t="inlineStr">
        <is>
          <t>未完成</t>
        </is>
      </c>
      <c r="T31" s="23" t="n"/>
      <c r="U31" s="23" t="n"/>
    </row>
    <row r="32" ht="15" customHeight="1" s="2">
      <c r="A32" s="24" t="n"/>
      <c r="B32" s="24" t="n"/>
      <c r="C32" s="16" t="n"/>
      <c r="D32" s="33" t="inlineStr">
        <is>
          <t>平台永久授权申请</t>
        </is>
      </c>
      <c r="E32" s="33" t="n"/>
      <c r="F32" s="23" t="n"/>
      <c r="G32" s="34" t="n"/>
      <c r="H32" s="34" t="n"/>
      <c r="I32" s="23" t="n"/>
      <c r="J32" s="35">
        <f>_xlfn.WORKDAY.INTL(K31,1,1,法定节假日!$B$2:$B$67)</f>
        <v/>
      </c>
      <c r="K32" s="35">
        <f>_xlfn.WORKDAY.INTL(J32,L32-1,1,法定节假日!$B$2:$B$67)</f>
        <v/>
      </c>
      <c r="L32" s="37">
        <f>L30-SUM(L31:L31)</f>
        <v/>
      </c>
      <c r="M32" s="23" t="n"/>
      <c r="N32" s="39" t="n"/>
      <c r="O32" s="39" t="n"/>
      <c r="P32" s="34">
        <f>NETWORKDAYS(N32,O32)</f>
        <v/>
      </c>
      <c r="Q32" s="23" t="n"/>
      <c r="R32" s="23" t="n"/>
      <c r="S32" s="37" t="inlineStr">
        <is>
          <t>未完成</t>
        </is>
      </c>
      <c r="T32" s="23" t="n"/>
      <c r="U32" s="23" t="n"/>
    </row>
  </sheetData>
  <mergeCells count="15">
    <mergeCell ref="U1:U2"/>
    <mergeCell ref="Q1:R1"/>
    <mergeCell ref="S1:T1"/>
    <mergeCell ref="J1:K1"/>
    <mergeCell ref="C1:C2"/>
    <mergeCell ref="B1:B2"/>
    <mergeCell ref="D1:D2"/>
    <mergeCell ref="E1:E2"/>
    <mergeCell ref="F1:F2"/>
    <mergeCell ref="I1:I2"/>
    <mergeCell ref="G1:G2"/>
    <mergeCell ref="M1:M2"/>
    <mergeCell ref="N1:O1"/>
    <mergeCell ref="H1:H2"/>
    <mergeCell ref="A1:A2"/>
  </mergeCells>
  <dataValidations count="2">
    <dataValidation sqref="M6:M8 M10:M13 M15:M16 M18:M20 M22 M26:M28 M31:M32" showDropDown="0" showInputMessage="0" showErrorMessage="0" allowBlank="1" type="list">
      <formula1>"是"</formula1>
    </dataValidation>
    <dataValidation sqref="S6:S8 S10:S13 S15:S16 S18:S20 S22 S26:S28 S31:S32" showDropDown="0" showInputMessage="0" showErrorMessage="0" allowBlank="1" type="list">
      <formula1>"未完成,进行中,已完成"</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E67"/>
  <sheetViews>
    <sheetView workbookViewId="0">
      <selection activeCell="F11" sqref="F11"/>
    </sheetView>
  </sheetViews>
  <sheetFormatPr baseColWidth="8" defaultColWidth="8.8359375" defaultRowHeight="14" customHeight="1" outlineLevelCol="0"/>
  <cols>
    <col width="10.5" customWidth="1" style="1" min="2" max="2"/>
    <col width="9.5" customWidth="1" style="1" min="3" max="3"/>
    <col width="9.7109375" customWidth="1" style="2" min="5" max="5"/>
  </cols>
  <sheetData>
    <row r="1">
      <c r="A1" s="3" t="n"/>
      <c r="B1" s="3" t="inlineStr">
        <is>
          <t>日期</t>
        </is>
      </c>
      <c r="C1" s="4" t="n"/>
      <c r="D1" s="5" t="n"/>
      <c r="E1" s="5" t="n"/>
    </row>
    <row r="2" ht="14.25" customHeight="1" s="2">
      <c r="A2" s="3" t="inlineStr">
        <is>
          <t>元旦</t>
        </is>
      </c>
      <c r="B2" s="6" t="n">
        <v>46021</v>
      </c>
      <c r="C2" s="6" t="inlineStr">
        <is>
          <t>2026假日</t>
        </is>
      </c>
      <c r="D2" s="5" t="n"/>
      <c r="E2" s="7" t="n"/>
    </row>
    <row r="3" ht="14.25" customHeight="1" s="2">
      <c r="A3" s="8" t="n"/>
      <c r="B3" s="6" t="n">
        <v>46022</v>
      </c>
      <c r="C3" s="8" t="n"/>
      <c r="D3" s="5" t="n"/>
      <c r="E3" s="7" t="n"/>
    </row>
    <row r="4" ht="14.25" customHeight="1" s="2">
      <c r="A4" s="9" t="n"/>
      <c r="B4" s="6" t="n">
        <v>46023</v>
      </c>
      <c r="C4" s="8" t="n"/>
      <c r="D4" s="5" t="n"/>
      <c r="E4" s="7" t="n"/>
    </row>
    <row r="5" ht="14.25" customHeight="1" s="2">
      <c r="A5" s="3" t="inlineStr">
        <is>
          <t>春节</t>
        </is>
      </c>
      <c r="B5" s="6" t="n">
        <v>46068</v>
      </c>
      <c r="C5" s="8" t="n"/>
      <c r="D5" s="5" t="n"/>
      <c r="E5" s="7" t="n"/>
    </row>
    <row r="6" ht="14.25" customHeight="1" s="2">
      <c r="A6" s="8" t="n"/>
      <c r="B6" s="6" t="n">
        <v>46069</v>
      </c>
      <c r="C6" s="8" t="n"/>
      <c r="D6" s="5" t="n"/>
      <c r="E6" s="7" t="n"/>
    </row>
    <row r="7" ht="14.25" customHeight="1" s="2">
      <c r="A7" s="8" t="n"/>
      <c r="B7" s="6" t="n">
        <v>46070</v>
      </c>
      <c r="C7" s="8" t="n"/>
      <c r="D7" s="5" t="n"/>
      <c r="E7" s="7" t="n"/>
    </row>
    <row r="8" ht="14.25" customHeight="1" s="2">
      <c r="A8" s="8" t="n"/>
      <c r="B8" s="6" t="n">
        <v>46071</v>
      </c>
      <c r="C8" s="8" t="n"/>
      <c r="D8" s="5" t="n"/>
      <c r="E8" s="7" t="n"/>
    </row>
    <row r="9" ht="14.25" customHeight="1" s="2">
      <c r="A9" s="8" t="n"/>
      <c r="B9" s="6" t="n">
        <v>46072</v>
      </c>
      <c r="C9" s="8" t="n"/>
      <c r="D9" s="5" t="n"/>
      <c r="E9" s="7" t="n"/>
    </row>
    <row r="10" ht="14.25" customHeight="1" s="2">
      <c r="A10" s="8" t="n"/>
      <c r="B10" s="6" t="n">
        <v>46073</v>
      </c>
      <c r="C10" s="8" t="n"/>
      <c r="D10" s="5" t="n"/>
      <c r="E10" s="7" t="n"/>
    </row>
    <row r="11" ht="14.25" customHeight="1" s="2">
      <c r="A11" s="8" t="n"/>
      <c r="B11" s="6" t="n">
        <v>46074</v>
      </c>
      <c r="C11" s="8" t="n"/>
      <c r="D11" s="5" t="n"/>
      <c r="E11" s="7" t="n"/>
    </row>
    <row r="12" ht="14.25" customHeight="1" s="2">
      <c r="A12" s="8" t="n"/>
      <c r="B12" s="6" t="n">
        <v>46075</v>
      </c>
      <c r="C12" s="8" t="n"/>
      <c r="D12" s="5" t="n"/>
      <c r="E12" s="7" t="n"/>
    </row>
    <row r="13" ht="14.25" customHeight="1" s="2">
      <c r="A13" s="9" t="n"/>
      <c r="B13" s="6" t="n">
        <v>46076</v>
      </c>
      <c r="C13" s="8" t="n"/>
      <c r="D13" s="5" t="n"/>
      <c r="E13" s="7" t="n"/>
    </row>
    <row r="14" ht="14.25" customHeight="1" s="2">
      <c r="A14" s="3" t="inlineStr">
        <is>
          <t>清明节</t>
        </is>
      </c>
      <c r="B14" s="6" t="n">
        <v>46116</v>
      </c>
      <c r="C14" s="8" t="n"/>
      <c r="D14" s="5" t="n"/>
      <c r="E14" s="7" t="n"/>
    </row>
    <row r="15" ht="14.25" customHeight="1" s="2">
      <c r="A15" s="8" t="n"/>
      <c r="B15" s="6" t="n">
        <v>46117</v>
      </c>
      <c r="C15" s="8" t="n"/>
      <c r="D15" s="5" t="n"/>
      <c r="E15" s="7" t="n"/>
    </row>
    <row r="16" ht="14.25" customHeight="1" s="2">
      <c r="A16" s="9" t="n"/>
      <c r="B16" s="6" t="n">
        <v>46118</v>
      </c>
      <c r="C16" s="8" t="n"/>
      <c r="D16" s="5" t="n"/>
      <c r="E16" s="7" t="n"/>
    </row>
    <row r="17" ht="14.25" customHeight="1" s="2">
      <c r="A17" s="3" t="inlineStr">
        <is>
          <t>劳动节</t>
        </is>
      </c>
      <c r="B17" s="6" t="n">
        <v>46143</v>
      </c>
      <c r="C17" s="8" t="n"/>
      <c r="D17" s="5" t="n"/>
      <c r="E17" s="7" t="n"/>
    </row>
    <row r="18" ht="14.25" customHeight="1" s="2">
      <c r="A18" s="8" t="n"/>
      <c r="B18" s="6" t="n">
        <v>46144</v>
      </c>
      <c r="C18" s="8" t="n"/>
      <c r="D18" s="5" t="n"/>
      <c r="E18" s="7" t="n"/>
    </row>
    <row r="19" ht="14.25" customHeight="1" s="2">
      <c r="A19" s="8" t="n"/>
      <c r="B19" s="6" t="n">
        <v>46145</v>
      </c>
      <c r="C19" s="8" t="n"/>
      <c r="D19" s="5" t="n"/>
      <c r="E19" s="7" t="n"/>
    </row>
    <row r="20" ht="14.25" customHeight="1" s="2">
      <c r="A20" s="8" t="n"/>
      <c r="B20" s="6" t="n">
        <v>46146</v>
      </c>
      <c r="C20" s="8" t="n"/>
      <c r="D20" s="5" t="n"/>
      <c r="E20" s="7" t="n"/>
    </row>
    <row r="21" ht="14.25" customHeight="1" s="2">
      <c r="A21" s="9" t="n"/>
      <c r="B21" s="6" t="n">
        <v>46147</v>
      </c>
      <c r="C21" s="8" t="n"/>
      <c r="D21" s="5" t="n"/>
      <c r="E21" s="7" t="n"/>
    </row>
    <row r="22" ht="14.25" customHeight="1" s="2">
      <c r="A22" s="3" t="inlineStr">
        <is>
          <t>端午节</t>
        </is>
      </c>
      <c r="B22" s="6" t="n">
        <v>46192</v>
      </c>
      <c r="C22" s="8" t="n"/>
      <c r="D22" s="5" t="n"/>
      <c r="E22" s="7" t="n"/>
    </row>
    <row r="23" ht="14.25" customHeight="1" s="2">
      <c r="A23" s="8" t="n"/>
      <c r="B23" s="6" t="n">
        <v>46193</v>
      </c>
      <c r="C23" s="8" t="n"/>
      <c r="D23" s="5" t="n"/>
      <c r="E23" s="7" t="n"/>
    </row>
    <row r="24" ht="14.25" customHeight="1" s="2">
      <c r="A24" s="9" t="n"/>
      <c r="B24" s="6" t="n">
        <v>46194</v>
      </c>
      <c r="C24" s="8" t="n"/>
      <c r="D24" s="5" t="n"/>
      <c r="E24" s="7" t="n"/>
    </row>
    <row r="25" ht="14.25" customHeight="1" s="2">
      <c r="A25" s="10" t="inlineStr">
        <is>
          <t>中秋节</t>
        </is>
      </c>
      <c r="B25" s="6" t="n">
        <v>46290</v>
      </c>
      <c r="C25" s="8" t="n"/>
      <c r="D25" s="11" t="n"/>
      <c r="E25" s="7" t="n"/>
    </row>
    <row r="26" ht="14.25" customHeight="1" s="2">
      <c r="A26" s="8" t="n"/>
      <c r="B26" s="6" t="n">
        <v>46291</v>
      </c>
      <c r="C26" s="8" t="n"/>
      <c r="D26" s="11" t="n"/>
      <c r="E26" s="7" t="n"/>
    </row>
    <row r="27" ht="14.25" customHeight="1" s="2">
      <c r="A27" s="9" t="n"/>
      <c r="B27" s="6" t="n">
        <v>46292</v>
      </c>
      <c r="C27" s="8" t="n"/>
      <c r="D27" s="11" t="n"/>
      <c r="E27" s="7" t="n"/>
    </row>
    <row r="28" ht="14.25" customHeight="1" s="2">
      <c r="A28" s="10" t="inlineStr">
        <is>
          <t>国庆节</t>
        </is>
      </c>
      <c r="B28" s="6" t="n">
        <v>46296</v>
      </c>
      <c r="C28" s="8" t="n"/>
      <c r="D28" s="11" t="n"/>
      <c r="E28" s="7" t="n"/>
    </row>
    <row r="29" ht="14.25" customHeight="1" s="2">
      <c r="A29" s="8" t="n"/>
      <c r="B29" s="6" t="n">
        <v>46297</v>
      </c>
      <c r="C29" s="8" t="n"/>
      <c r="D29" s="11" t="n"/>
      <c r="E29" s="7" t="n"/>
    </row>
    <row r="30" ht="14.25" customHeight="1" s="2">
      <c r="A30" s="8" t="n"/>
      <c r="B30" s="6" t="n">
        <v>46298</v>
      </c>
      <c r="C30" s="8" t="n"/>
      <c r="D30" s="11" t="n"/>
      <c r="E30" s="7" t="n"/>
    </row>
    <row r="31" ht="14.25" customHeight="1" s="2">
      <c r="A31" s="8" t="n"/>
      <c r="B31" s="6" t="n">
        <v>46299</v>
      </c>
      <c r="C31" s="8" t="n"/>
      <c r="D31" s="11" t="n"/>
      <c r="E31" s="7" t="n"/>
    </row>
    <row r="32" ht="14.25" customHeight="1" s="2">
      <c r="A32" s="8" t="n"/>
      <c r="B32" s="6" t="n">
        <v>46300</v>
      </c>
      <c r="C32" s="8" t="n"/>
      <c r="D32" s="11" t="n"/>
      <c r="E32" s="7" t="n"/>
    </row>
    <row r="33" ht="14.25" customHeight="1" s="2">
      <c r="A33" s="8" t="n"/>
      <c r="B33" s="6" t="n">
        <v>46301</v>
      </c>
      <c r="C33" s="8" t="n"/>
      <c r="D33" s="11" t="n"/>
      <c r="E33" s="7" t="n"/>
    </row>
    <row r="34" ht="14.25" customHeight="1" s="2">
      <c r="A34" s="9" t="n"/>
      <c r="B34" s="6" t="n">
        <v>46302</v>
      </c>
      <c r="C34" s="9" t="n"/>
      <c r="D34" s="11" t="n"/>
      <c r="E34" s="7" t="n"/>
    </row>
    <row r="35">
      <c r="A35" s="3" t="inlineStr">
        <is>
          <t>元旦</t>
        </is>
      </c>
      <c r="B35" s="6" t="n">
        <v>46386</v>
      </c>
      <c r="C35" s="3" t="inlineStr">
        <is>
          <t>2027假日</t>
        </is>
      </c>
    </row>
    <row r="36">
      <c r="A36" s="8" t="n"/>
      <c r="B36" s="6" t="n">
        <v>46387</v>
      </c>
      <c r="C36" s="8" t="n"/>
    </row>
    <row r="37">
      <c r="A37" s="9" t="n"/>
      <c r="B37" s="6" t="n">
        <v>46388</v>
      </c>
      <c r="C37" s="8" t="n"/>
    </row>
    <row r="38">
      <c r="A38" s="3" t="inlineStr">
        <is>
          <t>春节</t>
        </is>
      </c>
      <c r="B38" s="6" t="n">
        <v>46422</v>
      </c>
      <c r="C38" s="8" t="n"/>
    </row>
    <row r="39">
      <c r="A39" s="8" t="n"/>
      <c r="B39" s="6" t="n">
        <v>46423</v>
      </c>
      <c r="C39" s="8" t="n"/>
    </row>
    <row r="40">
      <c r="A40" s="8" t="n"/>
      <c r="B40" s="6" t="n">
        <v>46424</v>
      </c>
      <c r="C40" s="8" t="n"/>
    </row>
    <row r="41">
      <c r="A41" s="8" t="n"/>
      <c r="B41" s="6" t="n">
        <v>46425</v>
      </c>
      <c r="C41" s="8" t="n"/>
    </row>
    <row r="42">
      <c r="A42" s="8" t="n"/>
      <c r="B42" s="6" t="n">
        <v>46426</v>
      </c>
      <c r="C42" s="8" t="n"/>
    </row>
    <row r="43">
      <c r="A43" s="8" t="n"/>
      <c r="B43" s="6" t="n">
        <v>46427</v>
      </c>
      <c r="C43" s="8" t="n"/>
    </row>
    <row r="44">
      <c r="A44" s="8" t="n"/>
      <c r="B44" s="6" t="n">
        <v>46428</v>
      </c>
      <c r="C44" s="8" t="n"/>
    </row>
    <row r="45">
      <c r="A45" s="8" t="n"/>
      <c r="B45" s="6" t="n">
        <v>46429</v>
      </c>
      <c r="C45" s="8" t="n"/>
    </row>
    <row r="46">
      <c r="A46" s="9" t="n"/>
      <c r="B46" s="6" t="n">
        <v>46430</v>
      </c>
      <c r="C46" s="8" t="n"/>
    </row>
    <row r="47">
      <c r="A47" s="3" t="inlineStr">
        <is>
          <t>清明节</t>
        </is>
      </c>
      <c r="B47" s="6" t="n">
        <v>46480</v>
      </c>
      <c r="C47" s="8" t="n"/>
    </row>
    <row r="48">
      <c r="A48" s="8" t="n"/>
      <c r="B48" s="6" t="n">
        <v>46481</v>
      </c>
      <c r="C48" s="8" t="n"/>
    </row>
    <row r="49">
      <c r="A49" s="9" t="n"/>
      <c r="B49" s="6" t="n">
        <v>46482</v>
      </c>
      <c r="C49" s="8" t="n"/>
    </row>
    <row r="50">
      <c r="A50" s="3" t="inlineStr">
        <is>
          <t>劳动节</t>
        </is>
      </c>
      <c r="B50" s="6" t="n">
        <v>46508</v>
      </c>
      <c r="C50" s="8" t="n"/>
    </row>
    <row r="51">
      <c r="A51" s="8" t="n"/>
      <c r="B51" s="6" t="n">
        <v>46509</v>
      </c>
      <c r="C51" s="8" t="n"/>
    </row>
    <row r="52">
      <c r="A52" s="8" t="n"/>
      <c r="B52" s="6" t="n">
        <v>46510</v>
      </c>
      <c r="C52" s="8" t="n"/>
    </row>
    <row r="53">
      <c r="A53" s="8" t="n"/>
      <c r="B53" s="6" t="n">
        <v>46511</v>
      </c>
      <c r="C53" s="8" t="n"/>
    </row>
    <row r="54">
      <c r="A54" s="9" t="n"/>
      <c r="B54" s="6" t="n">
        <v>46512</v>
      </c>
      <c r="C54" s="8" t="n"/>
    </row>
    <row r="55">
      <c r="A55" s="3" t="inlineStr">
        <is>
          <t>端午节</t>
        </is>
      </c>
      <c r="B55" s="6" t="n">
        <v>46547</v>
      </c>
      <c r="C55" s="8" t="n"/>
    </row>
    <row r="56">
      <c r="A56" s="8" t="n"/>
      <c r="B56" s="6" t="n"/>
      <c r="C56" s="8" t="n"/>
    </row>
    <row r="57">
      <c r="A57" s="9" t="n"/>
      <c r="B57" s="6" t="n"/>
      <c r="C57" s="8" t="n"/>
    </row>
    <row r="58">
      <c r="A58" s="10" t="inlineStr">
        <is>
          <t>中秋节</t>
        </is>
      </c>
      <c r="B58" s="6" t="n">
        <v>46645</v>
      </c>
      <c r="C58" s="8" t="n"/>
    </row>
    <row r="59">
      <c r="A59" s="8" t="n"/>
      <c r="B59" s="6" t="n"/>
      <c r="C59" s="8" t="n"/>
    </row>
    <row r="60">
      <c r="A60" s="9" t="n"/>
      <c r="B60" s="6" t="n"/>
      <c r="C60" s="8" t="n"/>
    </row>
    <row r="61">
      <c r="A61" s="10" t="inlineStr">
        <is>
          <t>国庆节</t>
        </is>
      </c>
      <c r="B61" s="6" t="n">
        <v>46661</v>
      </c>
      <c r="C61" s="8" t="n"/>
    </row>
    <row r="62">
      <c r="A62" s="8" t="n"/>
      <c r="B62" s="6" t="n">
        <v>46662</v>
      </c>
      <c r="C62" s="8" t="n"/>
    </row>
    <row r="63">
      <c r="A63" s="8" t="n"/>
      <c r="B63" s="6" t="n">
        <v>46663</v>
      </c>
      <c r="C63" s="8" t="n"/>
    </row>
    <row r="64">
      <c r="A64" s="8" t="n"/>
      <c r="B64" s="6" t="n">
        <v>46664</v>
      </c>
      <c r="C64" s="8" t="n"/>
    </row>
    <row r="65">
      <c r="A65" s="8" t="n"/>
      <c r="B65" s="6" t="n">
        <v>46665</v>
      </c>
      <c r="C65" s="8" t="n"/>
    </row>
    <row r="66">
      <c r="A66" s="8" t="n"/>
      <c r="B66" s="6" t="n">
        <v>46666</v>
      </c>
      <c r="C66" s="8" t="n"/>
    </row>
    <row r="67">
      <c r="A67" s="9" t="n"/>
      <c r="B67" s="6" t="n">
        <v>46667</v>
      </c>
      <c r="C67" s="9" t="n"/>
    </row>
  </sheetData>
  <mergeCells count="16">
    <mergeCell ref="A17:A21"/>
    <mergeCell ref="C35:C67"/>
    <mergeCell ref="A61:A67"/>
    <mergeCell ref="A35:A37"/>
    <mergeCell ref="A5:A13"/>
    <mergeCell ref="A58:A60"/>
    <mergeCell ref="A2:A4"/>
    <mergeCell ref="A28:A34"/>
    <mergeCell ref="A38:A46"/>
    <mergeCell ref="A25:A27"/>
    <mergeCell ref="A50:A54"/>
    <mergeCell ref="A55:A57"/>
    <mergeCell ref="A47:A49"/>
    <mergeCell ref="C2:C34"/>
    <mergeCell ref="A14:A16"/>
    <mergeCell ref="A22:A24"/>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2026-09-03T10:21:44Z</dcterms:modified>
  <cp:lastModifiedBy>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ABC6D1B784C44888AC58F4010773A715_13</vt:lpwstr>
  </property>
  <property name="KSOProductBuildVer" fmtid="{D5CDD505-2E9C-101B-9397-08002B2CF9AE}" pid="3">
    <vt:lpwstr xmlns:vt="http://schemas.openxmlformats.org/officeDocument/2006/docPropsVTypes">2052-12.1.0.28043</vt:lpwstr>
  </property>
  <property name="CalculationRule" fmtid="{D5CDD505-2E9C-101B-9397-08002B2CF9AE}" pid="4">
    <vt:i4 xmlns:vt="http://schemas.openxmlformats.org/officeDocument/2006/docPropsVTypes">0</vt:i4>
  </property>
  <property name="KSOReadingLayout" fmtid="{D5CDD505-2E9C-101B-9397-08002B2CF9AE}" pid="5">
    <vt:bool xmlns:vt="http://schemas.openxmlformats.org/officeDocument/2006/docPropsVTypes">0</vt:bool>
  </property>
</Properties>
</file>