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xmlns:mc="http://schemas.openxmlformats.org/markup-compatibility/2006" xmlns:x15="http://schemas.microsoft.com/office/spreadsheetml/2010/11/main" mc:Ignorable="x15">
  <fileVersion appName="xl" lastEdited="3" lowestEdited="5" rupBuild="9302"/>
  <workbookPr/>
  <mc:AlternateContent xmlns:mc="http://schemas.openxmlformats.org/markup-compatibility/2006">
    <mc:Choice Requires="x15">
      <x15ac:absPath xmlns:x15ac="http://schemas.microsoft.com/office/spreadsheetml/2010/11/ac" url="C:\Users\hf\xwechat_files\wxid_u0z21y1wzmv511_e128\msg\file\2026-09\"/>
    </mc:Choice>
  </mc:AlternateContent>
  <bookViews>
    <workbookView windowWidth="28800" windowHeight="12255"/>
  </bookViews>
  <sheets>
    <sheet name="里程碑计划" sheetId="1" r:id="rId1"/>
    <sheet name="主计划" sheetId="2" r:id="rId2"/>
    <sheet name="项目准备WBS" sheetId="3" r:id="rId3"/>
    <sheet name="需求分析WBS" sheetId="4" r:id="rId4"/>
    <sheet name="系统实现WBS" sheetId="5" r:id="rId5"/>
    <sheet name="UAT试运行WBS" sheetId="6" r:id="rId6"/>
    <sheet name="上线运行WBS" sheetId="7" r:id="rId7"/>
    <sheet name="法定节假日" sheetId="8" r:id="rId8"/>
  </sheets>
  <definedNames>
    <definedName name="_xlnm._FilterDatabase" localSheetId="1">主计划!$A$1:$S$85</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<sst xmlns="http://schemas.openxmlformats.org/spreadsheetml/2006/main" count="978" uniqueCount="361">
  <si>
    <t>时间</t>
  </si>
  <si>
    <t>实施</t>
  </si>
  <si>
    <t>开发</t>
  </si>
  <si>
    <t>用户&amp;IT</t>
  </si>
  <si>
    <t>里程碑节点说明</t>
  </si>
  <si>
    <t>序号</t>
  </si>
  <si>
    <t>里程碑</t>
  </si>
  <si>
    <t>开始时间</t>
  </si>
  <si>
    <t>结束时间</t>
  </si>
  <si>
    <t>天数</t>
  </si>
  <si>
    <t>一级流程
（阶段）</t>
  </si>
  <si>
    <t>二级流程
（场景）</t>
  </si>
  <si>
    <t>三级流程
（任务）</t>
  </si>
  <si>
    <t>任务名称</t>
  </si>
  <si>
    <t>后置</t>
  </si>
  <si>
    <t>前置</t>
  </si>
  <si>
    <t>进度</t>
  </si>
  <si>
    <t>乙方
评审</t>
  </si>
  <si>
    <t>甲方
评审</t>
  </si>
  <si>
    <t>PMO</t>
  </si>
  <si>
    <t>计划时间</t>
  </si>
  <si>
    <t>工作日</t>
  </si>
  <si>
    <t>是否与上个任务为前后置关系</t>
  </si>
  <si>
    <t>执行人</t>
  </si>
  <si>
    <t>关键交付物</t>
  </si>
  <si>
    <t>状态</t>
  </si>
  <si>
    <t>进度备注</t>
  </si>
  <si>
    <t>计划开始</t>
  </si>
  <si>
    <t>计划结束</t>
  </si>
  <si>
    <t>计划天数</t>
  </si>
  <si>
    <t>主责</t>
  </si>
  <si>
    <t>协助或支持</t>
  </si>
  <si>
    <t>项目准备</t>
  </si>
  <si>
    <t>内部启动</t>
  </si>
  <si>
    <t>★</t>
  </si>
  <si>
    <t>1.1.1</t>
  </si>
  <si>
    <t>内部启动准备</t>
  </si>
  <si>
    <t>√</t>
  </si>
  <si>
    <t>1.1.2</t>
  </si>
  <si>
    <t>内部启动会</t>
  </si>
  <si>
    <t>是</t>
  </si>
  <si>
    <t>技术准备</t>
  </si>
  <si>
    <t>1.2.1</t>
  </si>
  <si>
    <t>用户业务流程获取</t>
  </si>
  <si>
    <t>1.2.2</t>
  </si>
  <si>
    <t>交付物V0.1准备</t>
  </si>
  <si>
    <t>《交付物V0.1》</t>
  </si>
  <si>
    <t>1.2.3</t>
  </si>
  <si>
    <t>调研问卷准备</t>
  </si>
  <si>
    <t>《调研问卷》</t>
  </si>
  <si>
    <t>项目启动</t>
  </si>
  <si>
    <t>1.3.1</t>
  </si>
  <si>
    <t>组建客户团队</t>
  </si>
  <si>
    <t>《项目章程》</t>
  </si>
  <si>
    <t>1.3.2</t>
  </si>
  <si>
    <t>客户方准备办公环境</t>
  </si>
  <si>
    <t>1.3.3</t>
  </si>
  <si>
    <t>项目管理规划</t>
  </si>
  <si>
    <t>《项目管理方案》</t>
  </si>
  <si>
    <t>1.3.4</t>
  </si>
  <si>
    <t>召开启动会</t>
  </si>
  <si>
    <t>《项目启动会PPT》</t>
  </si>
  <si>
    <t>需求分析</t>
  </si>
  <si>
    <t>业务调研与分析</t>
  </si>
  <si>
    <t>2.1.1</t>
  </si>
  <si>
    <t>调研资料准备</t>
  </si>
  <si>
    <t>2.1.2</t>
  </si>
  <si>
    <t>关键用户培训考核</t>
  </si>
  <si>
    <t>2.1.3</t>
  </si>
  <si>
    <t>业务调研与模拟分析</t>
  </si>
  <si>
    <t>《调研纪要》</t>
  </si>
  <si>
    <t>2.1.4</t>
  </si>
  <si>
    <t>调研分析报告制定与评审</t>
  </si>
  <si>
    <t>《调研分析报告》</t>
  </si>
  <si>
    <t>系统蓝图设计</t>
  </si>
  <si>
    <t>2.2.1</t>
  </si>
  <si>
    <t>需求确认与应答</t>
  </si>
  <si>
    <t>《需求清单》《URS需求应答》</t>
  </si>
  <si>
    <t>2.2.2</t>
  </si>
  <si>
    <t>蓝图设计报告制定</t>
  </si>
  <si>
    <t>《蓝图设计报告》</t>
  </si>
  <si>
    <t>2.2.3</t>
  </si>
  <si>
    <t>蓝图评审与签字确认</t>
  </si>
  <si>
    <t>《蓝图验收确认单》</t>
  </si>
  <si>
    <t>接口详细设计</t>
  </si>
  <si>
    <t>2.3.1</t>
  </si>
  <si>
    <t>接口清单及字段确认</t>
  </si>
  <si>
    <t>2.3.2</t>
  </si>
  <si>
    <t>接口详设文档制定与评审</t>
  </si>
  <si>
    <t>《接口详细设计文档》</t>
  </si>
  <si>
    <t>输入数据处理与收集</t>
  </si>
  <si>
    <t>2.4.1</t>
  </si>
  <si>
    <t>数据收集模板制定与评审</t>
  </si>
  <si>
    <t>《数据收集模板》</t>
  </si>
  <si>
    <t>2.4.2</t>
  </si>
  <si>
    <t>少量产品数据收集与验证</t>
  </si>
  <si>
    <t>2.4.3</t>
  </si>
  <si>
    <t>接口接入数据管理方案制定</t>
  </si>
  <si>
    <t>《接口接入数据管理方案》</t>
  </si>
  <si>
    <t>2.4.4</t>
  </si>
  <si>
    <t>对接系统数据处理与验证</t>
  </si>
  <si>
    <t>2.4.5</t>
  </si>
  <si>
    <t>全量产品数据与规则收集</t>
  </si>
  <si>
    <t>4.1.2</t>
  </si>
  <si>
    <t>《全量数据收集表》</t>
  </si>
  <si>
    <t>运行环境准备</t>
  </si>
  <si>
    <t>2.5.1</t>
  </si>
  <si>
    <t>运行环境需求确认</t>
  </si>
  <si>
    <t>《服务器配置需求》</t>
  </si>
  <si>
    <t>2.5.2</t>
  </si>
  <si>
    <t>客户IT环境准备</t>
  </si>
  <si>
    <t>2.5.3</t>
  </si>
  <si>
    <t>网络访问准备</t>
  </si>
  <si>
    <t>《网络访问信息表》</t>
  </si>
  <si>
    <t>系统实现</t>
  </si>
  <si>
    <t>系统实现准备</t>
  </si>
  <si>
    <t>3.1.1</t>
  </si>
  <si>
    <t>开发设计及工时预估</t>
  </si>
  <si>
    <t>《需求清单》</t>
  </si>
  <si>
    <t>3.1.2</t>
  </si>
  <si>
    <t>需求版本及发布计划确认</t>
  </si>
  <si>
    <t>《需求跟踪表》</t>
  </si>
  <si>
    <t>版本开发与用户确认</t>
  </si>
  <si>
    <t>3.2.1</t>
  </si>
  <si>
    <t>开发测试数据准备</t>
  </si>
  <si>
    <t>《测试用例》《测试数据》</t>
  </si>
  <si>
    <t>3.2.2</t>
  </si>
  <si>
    <t>开发实现与测试确认</t>
  </si>
  <si>
    <t>3.2.3</t>
  </si>
  <si>
    <t>顾问单元测试与确认</t>
  </si>
  <si>
    <t>《测试报告》</t>
  </si>
  <si>
    <t>3.2.4</t>
  </si>
  <si>
    <t>用户单元测试与确认</t>
  </si>
  <si>
    <t>用户集成测试</t>
  </si>
  <si>
    <t>3.3.1</t>
  </si>
  <si>
    <t>3.3.2</t>
  </si>
  <si>
    <t>业务场景拉通测试</t>
  </si>
  <si>
    <t>《场景测试用例》《测试报告》</t>
  </si>
  <si>
    <t>3.3.3</t>
  </si>
  <si>
    <t>系统联调测试（全量）</t>
  </si>
  <si>
    <t>3.3.4</t>
  </si>
  <si>
    <t>UAT功能交付确认</t>
  </si>
  <si>
    <t>《功能交付清单》</t>
  </si>
  <si>
    <t>3.3.5</t>
  </si>
  <si>
    <t>UAT系统环境演示评审</t>
  </si>
  <si>
    <t>UAT/试运行</t>
  </si>
  <si>
    <t>4.1.1</t>
  </si>
  <si>
    <t>试运行计划制定</t>
  </si>
  <si>
    <t>全量数据测试准备</t>
  </si>
  <si>
    <t>《场景测试用例》</t>
  </si>
  <si>
    <t>4.1.3</t>
  </si>
  <si>
    <t>系统试运行及确认</t>
  </si>
  <si>
    <t>已签字《测试报告》</t>
  </si>
  <si>
    <t>4.1.4</t>
  </si>
  <si>
    <t>测试问题结果确认</t>
  </si>
  <si>
    <t>《问题跟踪表》</t>
  </si>
  <si>
    <t>最终用户培训</t>
  </si>
  <si>
    <t>4.2.1</t>
  </si>
  <si>
    <t>最终用户培训考核</t>
  </si>
  <si>
    <t>《培训教材》</t>
  </si>
  <si>
    <t>4.2.2</t>
  </si>
  <si>
    <t>用户操作手册制定</t>
  </si>
  <si>
    <t>《用户操作手册》</t>
  </si>
  <si>
    <t>上线准备</t>
  </si>
  <si>
    <t>4.3.1</t>
  </si>
  <si>
    <t>制定上线策略与切换计划</t>
  </si>
  <si>
    <t>《上线策略与切换计划》《应急策略》</t>
  </si>
  <si>
    <t>4.3.2</t>
  </si>
  <si>
    <t>初始化数据准备与测试</t>
  </si>
  <si>
    <t>4.3.3</t>
  </si>
  <si>
    <t>准备正式生产环境</t>
  </si>
  <si>
    <t>正常运行的生产环境</t>
  </si>
  <si>
    <t>4.3.4</t>
  </si>
  <si>
    <t>上线启动商讨会</t>
  </si>
  <si>
    <t>《会议纪要》</t>
  </si>
  <si>
    <t>系统上线</t>
  </si>
  <si>
    <t>4.4.1</t>
  </si>
  <si>
    <t>正式环境数据导入与优化确认</t>
  </si>
  <si>
    <t>4.4.2</t>
  </si>
  <si>
    <t>召开上线动员大会</t>
  </si>
  <si>
    <t>《上线启动会PPT》</t>
  </si>
  <si>
    <t>4.4.3</t>
  </si>
  <si>
    <t>通知正式启用新系统</t>
  </si>
  <si>
    <t>正式启动邮件</t>
  </si>
  <si>
    <t>4.4.4</t>
  </si>
  <si>
    <t>签署上线确认单</t>
  </si>
  <si>
    <t>《项目上线确认单》</t>
  </si>
  <si>
    <t>上线运行</t>
  </si>
  <si>
    <t>辅导与验证</t>
  </si>
  <si>
    <t>5.1.1</t>
  </si>
  <si>
    <t>验收策略确认</t>
  </si>
  <si>
    <t>5.1.2</t>
  </si>
  <si>
    <t>用户应用指导与定期复盘</t>
  </si>
  <si>
    <t>《项目问题跟踪表》《复盘总结报告》</t>
  </si>
  <si>
    <t>5.1.3</t>
  </si>
  <si>
    <t>实施文档基线确认</t>
  </si>
  <si>
    <t>《交付文档清单》</t>
  </si>
  <si>
    <t>5.1.4</t>
  </si>
  <si>
    <t>项目验收评审</t>
  </si>
  <si>
    <t>《项目验收总结报告》《验收备忘》</t>
  </si>
  <si>
    <t>5.1.5</t>
  </si>
  <si>
    <t>召开总结表彰大会</t>
  </si>
  <si>
    <t>《总结表彰PPT》</t>
  </si>
  <si>
    <t>5.1.6</t>
  </si>
  <si>
    <t>签署验收确认单</t>
  </si>
  <si>
    <t>《项目验收确认单》</t>
  </si>
  <si>
    <t>项目收尾</t>
  </si>
  <si>
    <t>5.2.1</t>
  </si>
  <si>
    <t>移交项目资料给客户</t>
  </si>
  <si>
    <t>5.2.2</t>
  </si>
  <si>
    <t>内部分享与总结归档</t>
  </si>
  <si>
    <t>《系统功能分享PPT》《项目组工作总结PPT》</t>
  </si>
  <si>
    <t>5.2.3</t>
  </si>
  <si>
    <t>奖惩兑现与团队解散</t>
  </si>
  <si>
    <t>5.2.4</t>
  </si>
  <si>
    <t>实施转持续服务交接</t>
  </si>
  <si>
    <t>WBS</t>
  </si>
  <si>
    <t>说明</t>
  </si>
  <si>
    <t>实际时间</t>
  </si>
  <si>
    <t>交付物</t>
  </si>
  <si>
    <t>实际开始</t>
  </si>
  <si>
    <t>实际完成</t>
  </si>
  <si>
    <t>实际天数</t>
  </si>
  <si>
    <t xml:space="preserve">内部启动准备 </t>
  </si>
  <si>
    <t>选择团队成员</t>
  </si>
  <si>
    <t>未完成</t>
  </si>
  <si>
    <t>组织售前交接会</t>
  </si>
  <si>
    <t>制度模板裁剪</t>
  </si>
  <si>
    <t>项目基线制定</t>
  </si>
  <si>
    <t>项目基线评审</t>
  </si>
  <si>
    <t>CRM建项</t>
  </si>
  <si>
    <t>内部启动材料准备</t>
  </si>
  <si>
    <t>组织内部启动会</t>
  </si>
  <si>
    <t>交付物V0.1制定</t>
  </si>
  <si>
    <t>技术顾问评审</t>
  </si>
  <si>
    <t>指导组建客户团队</t>
  </si>
  <si>
    <t>客户办公环境准备</t>
  </si>
  <si>
    <t>项目管理方案确定</t>
  </si>
  <si>
    <t>启动会流程讨论</t>
  </si>
  <si>
    <t>启动会PPT制作与同行评审</t>
  </si>
  <si>
    <t>PMO
监控&amp;评审点</t>
  </si>
  <si>
    <t>调研问卷用户确认</t>
  </si>
  <si>
    <t>用户调研计划制定与评审</t>
  </si>
  <si>
    <t>关于用户培训考核</t>
  </si>
  <si>
    <t>关键用户培训准备</t>
  </si>
  <si>
    <t>教材、考试题、签到表</t>
  </si>
  <si>
    <t>关键用户培训与考核</t>
  </si>
  <si>
    <t>业务调研与纪要确认</t>
  </si>
  <si>
    <t>按用户调研计划执行</t>
  </si>
  <si>
    <t>业务场景流程梳理与差异分析</t>
  </si>
  <si>
    <t>排产规则梳理与模拟确认</t>
  </si>
  <si>
    <t>业务优化策略梳理与确认</t>
  </si>
  <si>
    <t>接口清单梳理与确认</t>
  </si>
  <si>
    <t>2.2.4</t>
  </si>
  <si>
    <t>调研分析报告制定</t>
  </si>
  <si>
    <t>技术顾问评审确认</t>
  </si>
  <si>
    <t>关键用户评审确认</t>
  </si>
  <si>
    <t>谷斗内部评审确认</t>
  </si>
  <si>
    <t>需求清单编写与确认</t>
  </si>
  <si>
    <t>URS需求应答编写与确认</t>
  </si>
  <si>
    <t>技术顾问同行评审</t>
  </si>
  <si>
    <t>关键用户同行评审</t>
  </si>
  <si>
    <t>谷斗内部同行评审</t>
  </si>
  <si>
    <t>蓝图客户评审签字</t>
  </si>
  <si>
    <t>正式评审汇报</t>
  </si>
  <si>
    <t>评审完成签字</t>
  </si>
  <si>
    <t>接口清单确认</t>
  </si>
  <si>
    <t>接口清单字段确认</t>
  </si>
  <si>
    <t>接口详设文档制定</t>
  </si>
  <si>
    <t>用户正式评审确认</t>
  </si>
  <si>
    <t>基础规则收集模板制定与确认</t>
  </si>
  <si>
    <t>新增规则模板制定与确认</t>
  </si>
  <si>
    <t>接口接入数据收集清单确认</t>
  </si>
  <si>
    <t>少量产品数据用户收集</t>
  </si>
  <si>
    <t>产品demo验证与确认</t>
  </si>
  <si>
    <t>数据收集模板调整</t>
  </si>
  <si>
    <t>数据收集与分析讨论</t>
  </si>
  <si>
    <t>数据管理需求方案制定</t>
  </si>
  <si>
    <t>数据管理需求方案评审发布</t>
  </si>
  <si>
    <t>xxx系统数据处理与结果验证</t>
  </si>
  <si>
    <t>全量产品清单确认</t>
  </si>
  <si>
    <t>环境服务器配置及端口确认</t>
  </si>
  <si>
    <t>系统所需服务器采购与安装</t>
  </si>
  <si>
    <t>VPN与堡垒机申请</t>
  </si>
  <si>
    <t>服务器端口访问开通</t>
  </si>
  <si>
    <t>各账号登录确认</t>
  </si>
  <si>
    <t>开发功能设计</t>
  </si>
  <si>
    <t>功能工时估算</t>
  </si>
  <si>
    <t>开发设计评审</t>
  </si>
  <si>
    <t>需求版本制定与确认</t>
  </si>
  <si>
    <t>发布计划制定与确认</t>
  </si>
  <si>
    <t>禅道需求和任务创建</t>
  </si>
  <si>
    <t>版本开发与用户测试</t>
  </si>
  <si>
    <t>测试用例制定与确认</t>
  </si>
  <si>
    <t>测试数据准备与确认</t>
  </si>
  <si>
    <t>接口postman联调</t>
  </si>
  <si>
    <t>功能部署与配置</t>
  </si>
  <si>
    <t>组织用户培训与确认</t>
  </si>
  <si>
    <t>场景测试计划制定与确认</t>
  </si>
  <si>
    <t>系统功能及优化确认</t>
  </si>
  <si>
    <t>场景测试与报告确认</t>
  </si>
  <si>
    <t>联调测试计划制定与确认</t>
  </si>
  <si>
    <t>系统配置与通讯准备</t>
  </si>
  <si>
    <t>接口测试与报告确认</t>
  </si>
  <si>
    <t>功能交付确认</t>
  </si>
  <si>
    <t>功能交付清单确认</t>
  </si>
  <si>
    <t>试运行计划制定与确认</t>
  </si>
  <si>
    <t>产品与规则系统导入与验证</t>
  </si>
  <si>
    <t>业务数据全量导入</t>
  </si>
  <si>
    <t>销售数据准备与导入</t>
  </si>
  <si>
    <t>全量系统优化排产验证</t>
  </si>
  <si>
    <t>各计划结果合理性确认</t>
  </si>
  <si>
    <t>试运行报告签字确认</t>
  </si>
  <si>
    <t>最终用户培训准备</t>
  </si>
  <si>
    <t>最终用户培训与考核</t>
  </si>
  <si>
    <t>操作手册撰写与顾问评审</t>
  </si>
  <si>
    <t>上线策略与切换计划制定</t>
  </si>
  <si>
    <t>上线应急策略制定</t>
  </si>
  <si>
    <t>初始化数据清单确认</t>
  </si>
  <si>
    <t>初始化数据验证指南</t>
  </si>
  <si>
    <t>xxxx数据收集与测试</t>
  </si>
  <si>
    <t>服务器配置确认</t>
  </si>
  <si>
    <t>服务器端口开放确认</t>
  </si>
  <si>
    <t>平台部署与自查</t>
  </si>
  <si>
    <t>模型部署与检查</t>
  </si>
  <si>
    <t>数据库安装与检查</t>
  </si>
  <si>
    <t>系统登录确认</t>
  </si>
  <si>
    <t>网络通畅确认</t>
  </si>
  <si>
    <t>模型场景页面视图配置</t>
  </si>
  <si>
    <t>xxxx数据导入与验证</t>
  </si>
  <si>
    <t>系统优化结果确认</t>
  </si>
  <si>
    <t>启动会材料制作与同行评审</t>
  </si>
  <si>
    <t>召开上线启动会</t>
  </si>
  <si>
    <t>辅导与验收</t>
  </si>
  <si>
    <t>项目复盘材料制定</t>
  </si>
  <si>
    <t>组织召开复盘会议</t>
  </si>
  <si>
    <t>总结问题并发布指导手册</t>
  </si>
  <si>
    <t>确认交付文档清单</t>
  </si>
  <si>
    <t>整理项目交付文档</t>
  </si>
  <si>
    <t>URS需求应答-状态确认</t>
  </si>
  <si>
    <t>项目文档基线确认</t>
  </si>
  <si>
    <t>准备验收评审材料</t>
  </si>
  <si>
    <t>组织项目验收评审</t>
  </si>
  <si>
    <t>召开项目总结表彰</t>
  </si>
  <si>
    <t>会议流程讨论</t>
  </si>
  <si>
    <t>表彰会材料制作与同行评审</t>
  </si>
  <si>
    <t>召开项目总结表彰会</t>
  </si>
  <si>
    <t>系统功能分享-内部</t>
  </si>
  <si>
    <t>项目组工作总结-内部</t>
  </si>
  <si>
    <t>更新组织过程资产-内部</t>
  </si>
  <si>
    <t>平台永久授权申请</t>
  </si>
  <si>
    <t>2023假日</t>
  </si>
  <si>
    <t>日期</t>
  </si>
  <si>
    <t>2024假日</t>
  </si>
  <si>
    <t>元旦</t>
  </si>
  <si>
    <t>春节</t>
  </si>
  <si>
    <t>清明节</t>
  </si>
  <si>
    <t>劳动节</t>
  </si>
  <si>
    <t>端午节</t>
  </si>
  <si>
    <t>中秋节</t>
  </si>
  <si>
    <t>国庆</t>
  </si>
</sst>
</file>

<file path=xl/styles.xml><?xml version="1.0" encoding="utf-8"?>
<styleSheet xmlns="http://schemas.openxmlformats.org/spreadsheetml/2006/main" xmlns:mc="http://schemas.openxmlformats.org/markup-compatibility/2006" xmlns:xr9="http://schemas.microsoft.com/office/spreadsheetml/2016/revision9" mc:Ignorable="xr9">
  <numFmts count="6">
    <numFmt numFmtId="42" formatCode="_(&quot;$&quot;* #,##0_);_(&quot;$&quot;* \(#,##0\);_(&quot;$&quot;* &quot;-&quot;_);_(@_)"/>
    <numFmt numFmtId="44" formatCode="_(&quot;$&quot;* #,##0.00_);_(&quot;$&quot;* \(#,##0.00\);_(&quot;$&quot;* &quot;-&quot;??_);_(@_)"/>
    <numFmt numFmtId="176" formatCode="_ * #,##0.00_ ;_ * \-#,##0.00_ ;_ * &quot;-&quot;??_ ;_ @_ "/>
    <numFmt numFmtId="177" formatCode="_ * #,##0_ ;_ * \-#,##0_ ;_ * &quot;-&quot;_ ;_ @_ "/>
    <numFmt numFmtId="178" formatCode="yyyy/m/d"/>
    <numFmt numFmtId="179" formatCode="yyyy&quot;年&quot;m&quot;月&quot;;@"/>
  </numFmts>
  <fonts count="35">
    <font>
      <sz val="12"/>
      <color theme="1"/>
      <name val="等线"/>
      <charset val="134"/>
      <scheme val="minor"/>
    </font>
    <font>
      <sz val="11"/>
      <color rgb="FF000000"/>
      <name val="等线"/>
      <charset val="134"/>
    </font>
    <font>
      <sz val="11"/>
      <color rgb="FF000000"/>
      <name val="微软雅黑"/>
      <charset val="134"/>
    </font>
    <font>
      <sz val="12"/>
      <color rgb="FF000000"/>
      <name val="微软雅黑"/>
      <charset val="134"/>
    </font>
    <font>
      <sz val="11"/>
      <color rgb="FFFF0000"/>
      <name val="微软雅黑"/>
      <charset val="134"/>
    </font>
    <font>
      <b/>
      <sz val="11"/>
      <color rgb="FF000000"/>
      <name val="微软雅黑"/>
      <charset val="134"/>
    </font>
    <font>
      <sz val="10"/>
      <color rgb="FFFF0000"/>
      <name val="微软雅黑"/>
      <charset val="134"/>
    </font>
    <font>
      <sz val="12"/>
      <color rgb="FF000000"/>
      <name val="宋体"/>
      <charset val="134"/>
    </font>
    <font>
      <b/>
      <sz val="12"/>
      <color rgb="FF000000"/>
      <name val="微软雅黑"/>
      <charset val="134"/>
    </font>
    <font>
      <sz val="10"/>
      <color rgb="FF000000"/>
      <name val="微软雅黑"/>
      <charset val="134"/>
    </font>
    <font>
      <sz val="10"/>
      <color rgb="FF000000"/>
      <name val="宋体"/>
      <charset val="134"/>
    </font>
    <font>
      <sz val="8"/>
      <color rgb="FF000000"/>
      <name val="微软雅黑"/>
      <charset val="134"/>
    </font>
    <font>
      <sz val="10"/>
      <color rgb="FF000000"/>
      <name val="Arial"/>
      <charset val="134"/>
    </font>
    <font>
      <b/>
      <sz val="10"/>
      <color rgb="FF000000"/>
      <name val="Arial"/>
      <charset val="134"/>
    </font>
    <font>
      <sz val="14"/>
      <color rgb="FF000000"/>
      <name val="微软雅黑"/>
      <charset val="134"/>
    </font>
    <font>
      <sz val="11"/>
      <color theme="1"/>
      <name val="等线"/>
      <charset val="134"/>
      <scheme val="minor"/>
    </font>
    <font>
      <u/>
      <sz val="10"/>
      <color theme="10"/>
      <name val="等线"/>
      <charset val="134"/>
      <scheme val="minor"/>
    </font>
    <font>
      <u/>
      <sz val="11"/>
      <color rgb="FF800080"/>
      <name val="等线"/>
      <charset val="0"/>
      <scheme val="minor"/>
    </font>
    <font>
      <sz val="11"/>
      <color rgb="FFFF0000"/>
      <name val="等线"/>
      <charset val="0"/>
      <scheme val="minor"/>
    </font>
    <font>
      <b/>
      <sz val="18"/>
      <color theme="3"/>
      <name val="等线"/>
      <charset val="134"/>
      <scheme val="minor"/>
    </font>
    <font>
      <i/>
      <sz val="11"/>
      <color rgb="FF7F7F7F"/>
      <name val="等线"/>
      <charset val="0"/>
      <scheme val="minor"/>
    </font>
    <font>
      <b/>
      <sz val="15"/>
      <color theme="3"/>
      <name val="等线"/>
      <charset val="134"/>
      <scheme val="minor"/>
    </font>
    <font>
      <b/>
      <sz val="13"/>
      <color theme="3"/>
      <name val="等线"/>
      <charset val="134"/>
      <scheme val="minor"/>
    </font>
    <font>
      <b/>
      <sz val="11"/>
      <color theme="3"/>
      <name val="等线"/>
      <charset val="134"/>
      <scheme val="minor"/>
    </font>
    <font>
      <sz val="11"/>
      <color rgb="FF3F3F76"/>
      <name val="等线"/>
      <charset val="0"/>
      <scheme val="minor"/>
    </font>
    <font>
      <b/>
      <sz val="11"/>
      <color rgb="FF3F3F3F"/>
      <name val="等线"/>
      <charset val="0"/>
      <scheme val="minor"/>
    </font>
    <font>
      <b/>
      <sz val="11"/>
      <color rgb="FFFA7D00"/>
      <name val="等线"/>
      <charset val="0"/>
      <scheme val="minor"/>
    </font>
    <font>
      <b/>
      <sz val="11"/>
      <color rgb="FFFFFFFF"/>
      <name val="等线"/>
      <charset val="0"/>
      <scheme val="minor"/>
    </font>
    <font>
      <sz val="11"/>
      <color rgb="FFFA7D00"/>
      <name val="等线"/>
      <charset val="0"/>
      <scheme val="minor"/>
    </font>
    <font>
      <b/>
      <sz val="11"/>
      <color theme="1"/>
      <name val="等线"/>
      <charset val="0"/>
      <scheme val="minor"/>
    </font>
    <font>
      <sz val="11"/>
      <color rgb="FF006100"/>
      <name val="等线"/>
      <charset val="0"/>
      <scheme val="minor"/>
    </font>
    <font>
      <sz val="11"/>
      <color rgb="FF9C0006"/>
      <name val="等线"/>
      <charset val="0"/>
      <scheme val="minor"/>
    </font>
    <font>
      <sz val="11"/>
      <color rgb="FF9C6500"/>
      <name val="等线"/>
      <charset val="0"/>
      <scheme val="minor"/>
    </font>
    <font>
      <sz val="11"/>
      <color theme="0"/>
      <name val="等线"/>
      <charset val="0"/>
      <scheme val="minor"/>
    </font>
    <font>
      <sz val="11"/>
      <color theme="1"/>
      <name val="等线"/>
      <charset val="0"/>
      <scheme val="minor"/>
    </font>
  </fonts>
  <fills count="41">
    <fill>
      <patternFill patternType="none"/>
    </fill>
    <fill>
      <patternFill patternType="gray125"/>
    </fill>
    <fill>
      <patternFill patternType="solid">
        <fgColor rgb="FFECECEC"/>
        <bgColor indexed="64"/>
      </patternFill>
    </fill>
    <fill>
      <patternFill patternType="solid">
        <fgColor rgb="FFD9E2F3"/>
        <bgColor indexed="64"/>
      </patternFill>
    </fill>
    <fill>
      <patternFill patternType="solid">
        <fgColor rgb="FFF2F2F2"/>
        <bgColor indexed="64"/>
      </patternFill>
    </fill>
    <fill>
      <patternFill patternType="solid">
        <fgColor rgb="FF4472C4"/>
        <bgColor indexed="64"/>
      </patternFill>
    </fill>
    <fill>
      <patternFill patternType="solid">
        <fgColor rgb="FF2E75B5"/>
        <bgColor indexed="64"/>
      </patternFill>
    </fill>
    <fill>
      <patternFill patternType="solid">
        <fgColor rgb="FFFFFFFF"/>
        <bgColor indexed="64"/>
      </patternFill>
    </fill>
    <fill>
      <patternFill patternType="solid">
        <fgColor rgb="FFA8D08D"/>
        <bgColor indexed="64"/>
      </patternFill>
    </fill>
    <fill>
      <patternFill patternType="solid">
        <fgColor rgb="FFC5E0B3"/>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36">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style="thin">
        <color rgb="FF000000"/>
      </left>
      <right style="thin">
        <color rgb="FF000000"/>
      </right>
      <top/>
      <bottom/>
      <diagonal/>
    </border>
    <border>
      <left style="thin">
        <color rgb="FF000000"/>
      </left>
      <right/>
      <top/>
      <bottom style="thin">
        <color rgb="FF000000"/>
      </bottom>
      <diagonal/>
    </border>
    <border>
      <left/>
      <right/>
      <top style="thin">
        <color rgb="FF000000"/>
      </top>
      <bottom style="thin">
        <color rgb="FF000000"/>
      </bottom>
      <diagonal/>
    </border>
    <border>
      <left style="medium">
        <color rgb="FF000000"/>
      </left>
      <right style="medium">
        <color rgb="FF000000"/>
      </right>
      <top style="medium">
        <color rgb="FF000000"/>
      </top>
      <bottom/>
      <diagonal/>
    </border>
    <border>
      <left style="medium">
        <color rgb="FF000000"/>
      </left>
      <right style="thin">
        <color rgb="FF000000"/>
      </right>
      <top style="medium">
        <color rgb="FF000000"/>
      </top>
      <bottom style="thin">
        <color rgb="FF000000"/>
      </bottom>
      <diagonal/>
    </border>
    <border>
      <left style="thin">
        <color rgb="FF000000"/>
      </left>
      <right style="thin">
        <color rgb="FF000000"/>
      </right>
      <top style="medium">
        <color rgb="FF000000"/>
      </top>
      <bottom style="thin">
        <color rgb="FF000000"/>
      </bottom>
      <diagonal/>
    </border>
    <border>
      <left style="thin">
        <color rgb="FF000000"/>
      </left>
      <right style="medium">
        <color rgb="FF000000"/>
      </right>
      <top style="medium">
        <color rgb="FF000000"/>
      </top>
      <bottom style="thin">
        <color rgb="FF000000"/>
      </bottom>
      <diagonal/>
    </border>
    <border>
      <left style="thin">
        <color rgb="FF000000"/>
      </left>
      <right/>
      <top style="medium">
        <color rgb="FF000000"/>
      </top>
      <bottom style="thin">
        <color rgb="FF000000"/>
      </bottom>
      <diagonal/>
    </border>
    <border>
      <left style="medium">
        <color rgb="FF000000"/>
      </left>
      <right style="medium">
        <color rgb="FF000000"/>
      </right>
      <top/>
      <bottom style="thin">
        <color rgb="FF000000"/>
      </bottom>
      <diagonal/>
    </border>
    <border>
      <left style="medium">
        <color rgb="FF000000"/>
      </left>
      <right style="thin">
        <color rgb="FF000000"/>
      </right>
      <top style="thin">
        <color rgb="FF000000"/>
      </top>
      <bottom style="thin">
        <color rgb="FF000000"/>
      </bottom>
      <diagonal/>
    </border>
    <border>
      <left style="thin">
        <color rgb="FF000000"/>
      </left>
      <right style="medium">
        <color rgb="FF000000"/>
      </right>
      <top style="thin">
        <color rgb="FF000000"/>
      </top>
      <bottom style="thin">
        <color rgb="FF000000"/>
      </bottom>
      <diagonal/>
    </border>
    <border>
      <left/>
      <right style="medium">
        <color rgb="FF000000"/>
      </right>
      <top style="thin">
        <color rgb="FF000000"/>
      </top>
      <bottom style="thin">
        <color rgb="FF000000"/>
      </bottom>
      <diagonal/>
    </border>
    <border>
      <left style="medium">
        <color rgb="FF000000"/>
      </left>
      <right/>
      <top/>
      <bottom style="thin">
        <color rgb="FF000000"/>
      </bottom>
      <diagonal/>
    </border>
    <border>
      <left style="hair">
        <color rgb="FF000000"/>
      </left>
      <right style="hair">
        <color rgb="FF000000"/>
      </right>
      <top style="thin">
        <color rgb="FF000000"/>
      </top>
      <bottom style="thin">
        <color rgb="FF000000"/>
      </bottom>
      <diagonal/>
    </border>
    <border>
      <left style="hair">
        <color rgb="FF000000"/>
      </left>
      <right/>
      <top style="thin">
        <color rgb="FF000000"/>
      </top>
      <bottom style="thin">
        <color rgb="FF000000"/>
      </bottom>
      <diagonal/>
    </border>
    <border>
      <left style="medium">
        <color rgb="FF000000"/>
      </left>
      <right style="thin">
        <color rgb="FF000000"/>
      </right>
      <top/>
      <bottom/>
      <diagonal/>
    </border>
    <border>
      <left style="hair">
        <color rgb="FF000000"/>
      </left>
      <right style="hair">
        <color rgb="FF000000"/>
      </right>
      <top style="thin">
        <color rgb="FF000000"/>
      </top>
      <bottom/>
      <diagonal/>
    </border>
    <border>
      <left style="hair">
        <color rgb="FF000000"/>
      </left>
      <right/>
      <top style="thin">
        <color rgb="FF000000"/>
      </top>
      <bottom/>
      <diagonal/>
    </border>
    <border>
      <left style="medium">
        <color rgb="FF000000"/>
      </left>
      <right style="thin">
        <color rgb="FF000000"/>
      </right>
      <top style="medium">
        <color rgb="FF000000"/>
      </top>
      <bottom style="medium">
        <color rgb="FF000000"/>
      </bottom>
      <diagonal/>
    </border>
    <border>
      <left style="hair">
        <color rgb="FF000000"/>
      </left>
      <right style="hair">
        <color rgb="FF000000"/>
      </right>
      <top style="medium">
        <color rgb="FF000000"/>
      </top>
      <bottom style="medium">
        <color rgb="FF000000"/>
      </bottom>
      <diagonal/>
    </border>
    <border>
      <left style="hair">
        <color rgb="FF000000"/>
      </left>
      <right/>
      <top style="medium">
        <color rgb="FF000000"/>
      </top>
      <bottom style="medium">
        <color rgb="FF000000"/>
      </bottom>
      <diagonal/>
    </border>
    <border>
      <left style="thin">
        <color rgb="FF000000"/>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176" fontId="15" fillId="0" borderId="0" applyFont="0" applyFill="0" applyBorder="0" applyAlignment="0" applyProtection="0">
      <alignment vertical="center"/>
    </xf>
    <xf numFmtId="44" fontId="15" fillId="0" borderId="0" applyFont="0" applyFill="0" applyBorder="0" applyAlignment="0" applyProtection="0">
      <alignment vertical="center"/>
    </xf>
    <xf numFmtId="9" fontId="15" fillId="0" borderId="0" applyFont="0" applyFill="0" applyBorder="0" applyAlignment="0" applyProtection="0">
      <alignment vertical="center"/>
    </xf>
    <xf numFmtId="177" fontId="15" fillId="0" borderId="0" applyFont="0" applyFill="0" applyBorder="0" applyAlignment="0" applyProtection="0">
      <alignment vertical="center"/>
    </xf>
    <xf numFmtId="42" fontId="15" fillId="0" borderId="0" applyFont="0" applyFill="0" applyBorder="0" applyAlignment="0" applyProtection="0">
      <alignment vertical="center"/>
    </xf>
    <xf numFmtId="0" fontId="16" fillId="0" borderId="0" applyNumberFormat="0" applyFill="0" applyBorder="0" applyAlignment="0" applyProtection="0">
      <alignment vertical="center"/>
    </xf>
    <xf numFmtId="0" fontId="17" fillId="0" borderId="0" applyNumberFormat="0" applyFill="0" applyBorder="0" applyAlignment="0" applyProtection="0">
      <alignment vertical="center"/>
    </xf>
    <xf numFmtId="0" fontId="15" fillId="10" borderId="28" applyNumberFormat="0" applyFont="0" applyAlignment="0" applyProtection="0">
      <alignment vertical="center"/>
    </xf>
    <xf numFmtId="0" fontId="18" fillId="0" borderId="0" applyNumberFormat="0" applyFill="0" applyBorder="0" applyAlignment="0" applyProtection="0">
      <alignment vertical="center"/>
    </xf>
    <xf numFmtId="0" fontId="19" fillId="0" borderId="0" applyNumberFormat="0" applyFill="0" applyBorder="0" applyAlignment="0" applyProtection="0">
      <alignment vertical="center"/>
    </xf>
    <xf numFmtId="0" fontId="20" fillId="0" borderId="0" applyNumberFormat="0" applyFill="0" applyBorder="0" applyAlignment="0" applyProtection="0">
      <alignment vertical="center"/>
    </xf>
    <xf numFmtId="0" fontId="21" fillId="0" borderId="29" applyNumberFormat="0" applyFill="0" applyAlignment="0" applyProtection="0">
      <alignment vertical="center"/>
    </xf>
    <xf numFmtId="0" fontId="22" fillId="0" borderId="29" applyNumberFormat="0" applyFill="0" applyAlignment="0" applyProtection="0">
      <alignment vertical="center"/>
    </xf>
    <xf numFmtId="0" fontId="23" fillId="0" borderId="30" applyNumberFormat="0" applyFill="0" applyAlignment="0" applyProtection="0">
      <alignment vertical="center"/>
    </xf>
    <xf numFmtId="0" fontId="23" fillId="0" borderId="0" applyNumberFormat="0" applyFill="0" applyBorder="0" applyAlignment="0" applyProtection="0">
      <alignment vertical="center"/>
    </xf>
    <xf numFmtId="0" fontId="24" fillId="11" borderId="31" applyNumberFormat="0" applyAlignment="0" applyProtection="0">
      <alignment vertical="center"/>
    </xf>
    <xf numFmtId="0" fontId="25" fillId="12" borderId="32" applyNumberFormat="0" applyAlignment="0" applyProtection="0">
      <alignment vertical="center"/>
    </xf>
    <xf numFmtId="0" fontId="26" fillId="12" borderId="31" applyNumberFormat="0" applyAlignment="0" applyProtection="0">
      <alignment vertical="center"/>
    </xf>
    <xf numFmtId="0" fontId="27" fillId="13" borderId="33" applyNumberFormat="0" applyAlignment="0" applyProtection="0">
      <alignment vertical="center"/>
    </xf>
    <xf numFmtId="0" fontId="28" fillId="0" borderId="34" applyNumberFormat="0" applyFill="0" applyAlignment="0" applyProtection="0">
      <alignment vertical="center"/>
    </xf>
    <xf numFmtId="0" fontId="29" fillId="0" borderId="35" applyNumberFormat="0" applyFill="0" applyAlignment="0" applyProtection="0">
      <alignment vertical="center"/>
    </xf>
    <xf numFmtId="0" fontId="30" fillId="14" borderId="0" applyNumberFormat="0" applyBorder="0" applyAlignment="0" applyProtection="0">
      <alignment vertical="center"/>
    </xf>
    <xf numFmtId="0" fontId="31" fillId="15" borderId="0" applyNumberFormat="0" applyBorder="0" applyAlignment="0" applyProtection="0">
      <alignment vertical="center"/>
    </xf>
    <xf numFmtId="0" fontId="32" fillId="16" borderId="0" applyNumberFormat="0" applyBorder="0" applyAlignment="0" applyProtection="0">
      <alignment vertical="center"/>
    </xf>
    <xf numFmtId="0" fontId="33" fillId="17" borderId="0" applyNumberFormat="0" applyBorder="0" applyAlignment="0" applyProtection="0">
      <alignment vertical="center"/>
    </xf>
    <xf numFmtId="0" fontId="34" fillId="18" borderId="0" applyNumberFormat="0" applyBorder="0" applyAlignment="0" applyProtection="0">
      <alignment vertical="center"/>
    </xf>
    <xf numFmtId="0" fontId="34" fillId="19" borderId="0" applyNumberFormat="0" applyBorder="0" applyAlignment="0" applyProtection="0">
      <alignment vertical="center"/>
    </xf>
    <xf numFmtId="0" fontId="33" fillId="20" borderId="0" applyNumberFormat="0" applyBorder="0" applyAlignment="0" applyProtection="0">
      <alignment vertical="center"/>
    </xf>
    <xf numFmtId="0" fontId="33" fillId="21" borderId="0" applyNumberFormat="0" applyBorder="0" applyAlignment="0" applyProtection="0">
      <alignment vertical="center"/>
    </xf>
    <xf numFmtId="0" fontId="34" fillId="22" borderId="0" applyNumberFormat="0" applyBorder="0" applyAlignment="0" applyProtection="0">
      <alignment vertical="center"/>
    </xf>
    <xf numFmtId="0" fontId="34" fillId="23" borderId="0" applyNumberFormat="0" applyBorder="0" applyAlignment="0" applyProtection="0">
      <alignment vertical="center"/>
    </xf>
    <xf numFmtId="0" fontId="33" fillId="24" borderId="0" applyNumberFormat="0" applyBorder="0" applyAlignment="0" applyProtection="0">
      <alignment vertical="center"/>
    </xf>
    <xf numFmtId="0" fontId="33" fillId="25" borderId="0" applyNumberFormat="0" applyBorder="0" applyAlignment="0" applyProtection="0">
      <alignment vertical="center"/>
    </xf>
    <xf numFmtId="0" fontId="34" fillId="26" borderId="0" applyNumberFormat="0" applyBorder="0" applyAlignment="0" applyProtection="0">
      <alignment vertical="center"/>
    </xf>
    <xf numFmtId="0" fontId="34" fillId="27" borderId="0" applyNumberFormat="0" applyBorder="0" applyAlignment="0" applyProtection="0">
      <alignment vertical="center"/>
    </xf>
    <xf numFmtId="0" fontId="33" fillId="28" borderId="0" applyNumberFormat="0" applyBorder="0" applyAlignment="0" applyProtection="0">
      <alignment vertical="center"/>
    </xf>
    <xf numFmtId="0" fontId="33" fillId="29" borderId="0" applyNumberFormat="0" applyBorder="0" applyAlignment="0" applyProtection="0">
      <alignment vertical="center"/>
    </xf>
    <xf numFmtId="0" fontId="34" fillId="30" borderId="0" applyNumberFormat="0" applyBorder="0" applyAlignment="0" applyProtection="0">
      <alignment vertical="center"/>
    </xf>
    <xf numFmtId="0" fontId="34" fillId="31" borderId="0" applyNumberFormat="0" applyBorder="0" applyAlignment="0" applyProtection="0">
      <alignment vertical="center"/>
    </xf>
    <xf numFmtId="0" fontId="33" fillId="32" borderId="0" applyNumberFormat="0" applyBorder="0" applyAlignment="0" applyProtection="0">
      <alignment vertical="center"/>
    </xf>
    <xf numFmtId="0" fontId="33" fillId="33" borderId="0" applyNumberFormat="0" applyBorder="0" applyAlignment="0" applyProtection="0">
      <alignment vertical="center"/>
    </xf>
    <xf numFmtId="0" fontId="34" fillId="34" borderId="0" applyNumberFormat="0" applyBorder="0" applyAlignment="0" applyProtection="0">
      <alignment vertical="center"/>
    </xf>
    <xf numFmtId="0" fontId="34" fillId="35" borderId="0" applyNumberFormat="0" applyBorder="0" applyAlignment="0" applyProtection="0">
      <alignment vertical="center"/>
    </xf>
    <xf numFmtId="0" fontId="33" fillId="36" borderId="0" applyNumberFormat="0" applyBorder="0" applyAlignment="0" applyProtection="0">
      <alignment vertical="center"/>
    </xf>
    <xf numFmtId="0" fontId="33" fillId="37" borderId="0" applyNumberFormat="0" applyBorder="0" applyAlignment="0" applyProtection="0">
      <alignment vertical="center"/>
    </xf>
    <xf numFmtId="0" fontId="34" fillId="38" borderId="0" applyNumberFormat="0" applyBorder="0" applyAlignment="0" applyProtection="0">
      <alignment vertical="center"/>
    </xf>
    <xf numFmtId="0" fontId="34" fillId="39" borderId="0" applyNumberFormat="0" applyBorder="0" applyAlignment="0" applyProtection="0">
      <alignment vertical="center"/>
    </xf>
    <xf numFmtId="0" fontId="33" fillId="40" borderId="0" applyNumberFormat="0" applyBorder="0" applyAlignment="0" applyProtection="0">
      <alignment vertical="center"/>
    </xf>
  </cellStyleXfs>
  <cellXfs count="115">
    <xf numFmtId="0" fontId="0" fillId="0" borderId="0" xfId="0">
      <alignment vertical="center"/>
    </xf>
    <xf numFmtId="0" fontId="1" fillId="0" borderId="0" xfId="0" applyFont="1" applyAlignment="1"/>
    <xf numFmtId="0" fontId="1" fillId="0" borderId="0" xfId="0" applyFont="1" applyAlignment="1">
      <alignment horizontal="center" vertical="center"/>
    </xf>
    <xf numFmtId="58" fontId="1" fillId="0" borderId="0" xfId="0" applyNumberFormat="1" applyFont="1" applyAlignment="1">
      <alignment horizontal="center" vertical="center"/>
    </xf>
    <xf numFmtId="58" fontId="1" fillId="0" borderId="0" xfId="0" applyNumberFormat="1" applyFont="1" applyAlignment="1"/>
    <xf numFmtId="0" fontId="1" fillId="0" borderId="0" xfId="0" applyFont="1" applyAlignment="1">
      <alignment horizontal="center" vertical="center" wrapText="1"/>
    </xf>
    <xf numFmtId="0" fontId="1" fillId="0" borderId="0" xfId="0" applyFont="1" applyAlignment="1">
      <alignment horizontal="center"/>
    </xf>
    <xf numFmtId="0" fontId="2" fillId="2" borderId="1" xfId="0" applyFont="1" applyFill="1" applyBorder="1" applyAlignment="1" applyProtection="1">
      <alignment horizontal="center" vertical="center" wrapText="1"/>
    </xf>
    <xf numFmtId="0" fontId="2" fillId="2" borderId="1" xfId="0" applyFont="1" applyFill="1" applyBorder="1" applyAlignment="1" applyProtection="1">
      <alignment horizontal="center" vertical="center"/>
    </xf>
    <xf numFmtId="0" fontId="2" fillId="2" borderId="2" xfId="0" applyFont="1" applyFill="1" applyBorder="1" applyAlignment="1" applyProtection="1">
      <alignment horizontal="center" vertical="center"/>
    </xf>
    <xf numFmtId="0" fontId="3" fillId="2" borderId="1" xfId="0" applyFont="1" applyFill="1" applyBorder="1" applyAlignment="1" applyProtection="1">
      <alignment horizontal="center" vertical="center" wrapText="1"/>
    </xf>
    <xf numFmtId="0" fontId="3" fillId="2" borderId="3" xfId="0" applyFont="1" applyFill="1" applyBorder="1" applyAlignment="1" applyProtection="1">
      <alignment horizontal="center" vertical="center" wrapText="1"/>
    </xf>
    <xf numFmtId="0" fontId="3" fillId="2" borderId="2" xfId="0" applyFont="1" applyFill="1" applyBorder="1" applyAlignment="1" applyProtection="1">
      <alignment horizontal="center" vertical="center" wrapText="1"/>
    </xf>
    <xf numFmtId="0" fontId="3" fillId="2" borderId="4" xfId="0" applyFont="1" applyFill="1" applyBorder="1" applyAlignment="1" applyProtection="1">
      <alignment horizontal="center" vertical="center" wrapText="1"/>
    </xf>
    <xf numFmtId="0" fontId="2" fillId="2" borderId="5" xfId="0" applyFont="1" applyFill="1" applyBorder="1" applyAlignment="1" applyProtection="1">
      <alignment horizontal="center" vertical="center"/>
    </xf>
    <xf numFmtId="0" fontId="3" fillId="2" borderId="5" xfId="0" applyFont="1" applyFill="1" applyBorder="1" applyAlignment="1" applyProtection="1">
      <alignment horizontal="center" vertical="center" wrapText="1"/>
    </xf>
    <xf numFmtId="0" fontId="2" fillId="3" borderId="1" xfId="0" applyFont="1" applyFill="1" applyBorder="1" applyAlignment="1" applyProtection="1">
      <alignment horizontal="left"/>
    </xf>
    <xf numFmtId="0" fontId="2" fillId="3" borderId="1" xfId="0" applyFont="1" applyFill="1" applyBorder="1" applyAlignment="1" applyProtection="1">
      <alignment horizontal="left" vertical="center"/>
    </xf>
    <xf numFmtId="0" fontId="2" fillId="3" borderId="1" xfId="0" applyFont="1" applyFill="1" applyBorder="1" applyAlignment="1" applyProtection="1"/>
    <xf numFmtId="0" fontId="2" fillId="3" borderId="1" xfId="0" applyFont="1" applyFill="1" applyBorder="1" applyAlignment="1" applyProtection="1">
      <alignment horizontal="center" vertical="center"/>
    </xf>
    <xf numFmtId="58" fontId="2" fillId="3" borderId="1" xfId="0" applyNumberFormat="1" applyFont="1" applyFill="1" applyBorder="1" applyAlignment="1" applyProtection="1"/>
    <xf numFmtId="0" fontId="2" fillId="3" borderId="1" xfId="0" applyFont="1" applyFill="1" applyBorder="1" applyAlignment="1" applyProtection="1">
      <alignment horizontal="center"/>
    </xf>
    <xf numFmtId="0" fontId="1" fillId="0" borderId="1" xfId="0" applyFont="1" applyBorder="1" applyAlignment="1" applyProtection="1"/>
    <xf numFmtId="0" fontId="2" fillId="0" borderId="1" xfId="0" applyFont="1" applyBorder="1" applyAlignment="1" applyProtection="1">
      <alignment horizontal="left"/>
    </xf>
    <xf numFmtId="0" fontId="2" fillId="0" borderId="1" xfId="0" applyFont="1" applyBorder="1" applyProtection="1">
      <alignment vertical="center"/>
    </xf>
    <xf numFmtId="0" fontId="2" fillId="0" borderId="1" xfId="0" applyFont="1" applyBorder="1" applyAlignment="1" applyProtection="1"/>
    <xf numFmtId="0" fontId="2" fillId="0" borderId="1" xfId="0" applyFont="1" applyBorder="1" applyAlignment="1" applyProtection="1">
      <alignment horizontal="center" vertical="center"/>
    </xf>
    <xf numFmtId="58" fontId="2" fillId="0" borderId="1" xfId="0" applyNumberFormat="1" applyFont="1" applyBorder="1" applyAlignment="1" applyProtection="1">
      <alignment horizontal="left" vertical="center"/>
    </xf>
    <xf numFmtId="0" fontId="2" fillId="0" borderId="1" xfId="0" applyFont="1" applyBorder="1" applyAlignment="1" applyProtection="1">
      <alignment horizontal="left" vertical="center"/>
    </xf>
    <xf numFmtId="0" fontId="2" fillId="0" borderId="1" xfId="0" applyFont="1" applyBorder="1" applyAlignment="1" applyProtection="1">
      <alignment horizontal="center"/>
    </xf>
    <xf numFmtId="0" fontId="2" fillId="0" borderId="2" xfId="0" applyFont="1" applyBorder="1" applyAlignment="1" applyProtection="1">
      <alignment horizontal="left" vertical="center"/>
    </xf>
    <xf numFmtId="0" fontId="2" fillId="0" borderId="6" xfId="0" applyFont="1" applyBorder="1" applyAlignment="1" applyProtection="1">
      <alignment horizontal="left" vertical="center"/>
    </xf>
    <xf numFmtId="0" fontId="2" fillId="0" borderId="5" xfId="0" applyFont="1" applyBorder="1" applyAlignment="1" applyProtection="1">
      <alignment horizontal="left" vertical="center"/>
    </xf>
    <xf numFmtId="0" fontId="2" fillId="0" borderId="4" xfId="0" applyFont="1" applyBorder="1" applyProtection="1">
      <alignment vertical="center"/>
    </xf>
    <xf numFmtId="0" fontId="4" fillId="0" borderId="1" xfId="0" applyFont="1" applyBorder="1" applyAlignment="1" applyProtection="1">
      <alignment horizontal="center" vertical="center"/>
    </xf>
    <xf numFmtId="0" fontId="2" fillId="0" borderId="3" xfId="0" applyFont="1" applyBorder="1" applyProtection="1">
      <alignment vertical="center"/>
    </xf>
    <xf numFmtId="58" fontId="2" fillId="0" borderId="1" xfId="0" applyNumberFormat="1" applyFont="1" applyBorder="1" applyAlignment="1" applyProtection="1"/>
    <xf numFmtId="0" fontId="2" fillId="0" borderId="0" xfId="0" applyFont="1" applyAlignment="1"/>
    <xf numFmtId="0" fontId="2" fillId="0" borderId="0" xfId="0" applyFont="1" applyAlignment="1">
      <alignment horizontal="center" vertical="center"/>
    </xf>
    <xf numFmtId="58" fontId="2" fillId="3" borderId="1" xfId="0" applyNumberFormat="1" applyFont="1" applyFill="1" applyBorder="1" applyAlignment="1" applyProtection="1">
      <alignment horizontal="center" vertical="center"/>
    </xf>
    <xf numFmtId="0" fontId="2" fillId="0" borderId="2" xfId="0" applyFont="1" applyBorder="1" applyAlignment="1" applyProtection="1">
      <alignment horizontal="center"/>
    </xf>
    <xf numFmtId="58" fontId="2" fillId="0" borderId="1" xfId="0" applyNumberFormat="1" applyFont="1" applyBorder="1" applyAlignment="1" applyProtection="1">
      <alignment horizontal="center" vertical="center"/>
    </xf>
    <xf numFmtId="0" fontId="2" fillId="0" borderId="6" xfId="0" applyFont="1" applyBorder="1" applyAlignment="1" applyProtection="1">
      <alignment horizontal="center"/>
    </xf>
    <xf numFmtId="0" fontId="2" fillId="0" borderId="5" xfId="0" applyFont="1" applyBorder="1" applyAlignment="1" applyProtection="1">
      <alignment horizontal="center"/>
    </xf>
    <xf numFmtId="0" fontId="2" fillId="0" borderId="2" xfId="0" applyFont="1" applyBorder="1" applyAlignment="1" applyProtection="1">
      <alignment horizontal="left" vertical="center" wrapText="1"/>
    </xf>
    <xf numFmtId="0" fontId="2" fillId="0" borderId="6" xfId="0" applyFont="1" applyBorder="1" applyAlignment="1" applyProtection="1">
      <alignment horizontal="left" vertical="center" wrapText="1"/>
    </xf>
    <xf numFmtId="0" fontId="2" fillId="0" borderId="0" xfId="0" applyFont="1">
      <alignment vertical="center"/>
    </xf>
    <xf numFmtId="178" fontId="2" fillId="0" borderId="1" xfId="0" applyNumberFormat="1" applyFont="1" applyBorder="1" applyAlignment="1" applyProtection="1">
      <alignment horizontal="center" vertical="center"/>
    </xf>
    <xf numFmtId="0" fontId="2" fillId="0" borderId="2" xfId="0" applyFont="1" applyBorder="1" applyProtection="1">
      <alignment vertical="center"/>
    </xf>
    <xf numFmtId="0" fontId="2" fillId="0" borderId="6" xfId="0" applyFont="1" applyBorder="1" applyProtection="1">
      <alignment vertical="center"/>
    </xf>
    <xf numFmtId="0" fontId="2" fillId="0" borderId="5" xfId="0" applyFont="1" applyBorder="1" applyProtection="1">
      <alignment vertical="center"/>
    </xf>
    <xf numFmtId="0" fontId="2" fillId="0" borderId="1" xfId="0" applyFont="1" applyBorder="1" applyAlignment="1" applyProtection="1">
      <alignment horizontal="left" vertical="center" wrapText="1"/>
    </xf>
    <xf numFmtId="0" fontId="2" fillId="0" borderId="7" xfId="0" applyFont="1" applyBorder="1" applyAlignment="1" applyProtection="1">
      <alignment horizontal="left" vertical="center"/>
    </xf>
    <xf numFmtId="58" fontId="2" fillId="0" borderId="1" xfId="0" applyNumberFormat="1" applyFont="1" applyBorder="1" applyAlignment="1" applyProtection="1">
      <alignment horizontal="left"/>
    </xf>
    <xf numFmtId="0" fontId="2" fillId="0" borderId="5" xfId="0" applyFont="1" applyBorder="1" applyAlignment="1" applyProtection="1">
      <alignment horizontal="center" vertical="center"/>
    </xf>
    <xf numFmtId="0" fontId="2" fillId="2" borderId="2" xfId="0" applyFont="1" applyFill="1" applyBorder="1" applyAlignment="1" applyProtection="1">
      <alignment horizontal="center" vertical="center" wrapText="1"/>
    </xf>
    <xf numFmtId="0" fontId="3" fillId="2" borderId="8" xfId="0" applyFont="1" applyFill="1" applyBorder="1" applyAlignment="1" applyProtection="1">
      <alignment horizontal="center" vertical="center" wrapText="1"/>
    </xf>
    <xf numFmtId="0" fontId="2" fillId="2" borderId="5" xfId="0" applyFont="1" applyFill="1" applyBorder="1" applyAlignment="1" applyProtection="1">
      <alignment horizontal="center" vertical="center" wrapText="1"/>
    </xf>
    <xf numFmtId="58" fontId="2" fillId="3" borderId="1" xfId="0" applyNumberFormat="1" applyFont="1" applyFill="1" applyBorder="1" applyAlignment="1" applyProtection="1">
      <alignment horizontal="center"/>
    </xf>
    <xf numFmtId="58" fontId="1" fillId="0" borderId="0" xfId="0" applyNumberFormat="1" applyFont="1" applyAlignment="1">
      <alignment horizontal="center"/>
    </xf>
    <xf numFmtId="0" fontId="2" fillId="0" borderId="1" xfId="0" applyFont="1" applyBorder="1" applyAlignment="1" applyProtection="1">
      <alignment wrapText="1"/>
    </xf>
    <xf numFmtId="0" fontId="2" fillId="0" borderId="1" xfId="0" applyFont="1" applyBorder="1" applyAlignment="1" applyProtection="1">
      <alignment horizontal="center" vertical="center" wrapText="1"/>
    </xf>
    <xf numFmtId="58" fontId="2" fillId="0" borderId="1" xfId="0" applyNumberFormat="1" applyFont="1" applyBorder="1" applyAlignment="1" applyProtection="1">
      <alignment horizontal="center" vertical="center" wrapText="1"/>
    </xf>
    <xf numFmtId="0" fontId="4" fillId="0" borderId="1" xfId="0" applyFont="1" applyBorder="1" applyProtection="1">
      <alignment vertical="center"/>
    </xf>
    <xf numFmtId="0" fontId="2" fillId="0" borderId="2" xfId="0" applyFont="1" applyBorder="1" applyAlignment="1" applyProtection="1">
      <alignment horizontal="left"/>
    </xf>
    <xf numFmtId="0" fontId="2" fillId="0" borderId="0" xfId="0" applyFont="1" applyAlignment="1">
      <alignment horizontal="left"/>
    </xf>
    <xf numFmtId="0" fontId="2" fillId="0" borderId="0" xfId="0" applyFont="1" applyAlignment="1">
      <alignment horizontal="center"/>
    </xf>
    <xf numFmtId="0" fontId="2" fillId="2" borderId="3" xfId="0" applyFont="1" applyFill="1" applyBorder="1" applyAlignment="1" applyProtection="1">
      <alignment horizontal="center" vertical="center"/>
    </xf>
    <xf numFmtId="0" fontId="2" fillId="4" borderId="2" xfId="0" applyFont="1" applyFill="1" applyBorder="1" applyAlignment="1" applyProtection="1">
      <alignment horizontal="center" vertical="center"/>
    </xf>
    <xf numFmtId="0" fontId="2" fillId="4" borderId="5" xfId="0" applyFont="1" applyFill="1" applyBorder="1" applyAlignment="1" applyProtection="1">
      <alignment horizontal="center" vertical="center"/>
    </xf>
    <xf numFmtId="0" fontId="5" fillId="5" borderId="1" xfId="0" applyFont="1" applyFill="1" applyBorder="1" applyAlignment="1" applyProtection="1">
      <alignment horizontal="left"/>
    </xf>
    <xf numFmtId="0" fontId="5" fillId="5" borderId="3" xfId="0" applyFont="1" applyFill="1" applyBorder="1" applyAlignment="1" applyProtection="1">
      <alignment horizontal="left"/>
    </xf>
    <xf numFmtId="0" fontId="2" fillId="5" borderId="1" xfId="0" applyFont="1" applyFill="1" applyBorder="1" applyAlignment="1" applyProtection="1">
      <alignment horizontal="center"/>
    </xf>
    <xf numFmtId="0" fontId="2" fillId="5" borderId="1" xfId="0" applyFont="1" applyFill="1" applyBorder="1" applyAlignment="1" applyProtection="1">
      <alignment horizontal="center" vertical="center"/>
    </xf>
    <xf numFmtId="0" fontId="2" fillId="5" borderId="1" xfId="0" applyFont="1" applyFill="1" applyBorder="1" applyAlignment="1" applyProtection="1"/>
    <xf numFmtId="58" fontId="2" fillId="5" borderId="1" xfId="0" applyNumberFormat="1" applyFont="1" applyFill="1" applyBorder="1" applyAlignment="1" applyProtection="1">
      <alignment horizontal="center" vertical="center"/>
    </xf>
    <xf numFmtId="0" fontId="2" fillId="3" borderId="3" xfId="0" applyFont="1" applyFill="1" applyBorder="1" applyAlignment="1" applyProtection="1"/>
    <xf numFmtId="0" fontId="2" fillId="3" borderId="3" xfId="0" applyFont="1" applyFill="1" applyBorder="1" applyAlignment="1" applyProtection="1">
      <alignment horizontal="left"/>
    </xf>
    <xf numFmtId="58" fontId="2" fillId="6" borderId="1" xfId="0" applyNumberFormat="1" applyFont="1" applyFill="1" applyBorder="1" applyAlignment="1" applyProtection="1">
      <alignment horizontal="center" vertical="center"/>
    </xf>
    <xf numFmtId="58" fontId="4" fillId="0" borderId="1" xfId="0" applyNumberFormat="1" applyFont="1" applyBorder="1" applyAlignment="1" applyProtection="1">
      <alignment horizontal="center" vertical="center"/>
    </xf>
    <xf numFmtId="0" fontId="2" fillId="5" borderId="1" xfId="0" applyFont="1" applyFill="1" applyBorder="1" applyAlignment="1" applyProtection="1">
      <alignment horizontal="left"/>
    </xf>
    <xf numFmtId="0" fontId="2" fillId="5" borderId="3" xfId="0" applyFont="1" applyFill="1" applyBorder="1" applyProtection="1">
      <alignment vertical="center"/>
    </xf>
    <xf numFmtId="0" fontId="2" fillId="3" borderId="3" xfId="0" applyFont="1" applyFill="1" applyBorder="1" applyAlignment="1" applyProtection="1">
      <alignment horizontal="left" vertical="center"/>
    </xf>
    <xf numFmtId="0" fontId="2" fillId="0" borderId="3" xfId="0" applyFont="1" applyBorder="1" applyAlignment="1" applyProtection="1">
      <alignment horizontal="left"/>
    </xf>
    <xf numFmtId="0" fontId="6" fillId="0" borderId="0" xfId="0" applyFont="1">
      <alignment vertical="center"/>
    </xf>
    <xf numFmtId="0" fontId="1" fillId="7" borderId="0" xfId="0" applyFont="1" applyFill="1">
      <alignment vertical="center"/>
    </xf>
    <xf numFmtId="0" fontId="7" fillId="7" borderId="9" xfId="0" applyFont="1" applyFill="1" applyBorder="1" applyAlignment="1" applyProtection="1">
      <alignment horizontal="center" vertical="center" wrapText="1"/>
    </xf>
    <xf numFmtId="179" fontId="8" fillId="8" borderId="10" xfId="0" applyNumberFormat="1" applyFont="1" applyFill="1" applyBorder="1" applyAlignment="1" applyProtection="1">
      <alignment horizontal="center"/>
    </xf>
    <xf numFmtId="179" fontId="8" fillId="8" borderId="11" xfId="0" applyNumberFormat="1" applyFont="1" applyFill="1" applyBorder="1" applyAlignment="1" applyProtection="1">
      <alignment horizontal="center"/>
    </xf>
    <xf numFmtId="179" fontId="8" fillId="8" borderId="12" xfId="0" applyNumberFormat="1" applyFont="1" applyFill="1" applyBorder="1" applyAlignment="1" applyProtection="1">
      <alignment horizontal="center"/>
    </xf>
    <xf numFmtId="179" fontId="8" fillId="8" borderId="13" xfId="0" applyNumberFormat="1" applyFont="1" applyFill="1" applyBorder="1" applyAlignment="1" applyProtection="1">
      <alignment horizontal="center"/>
    </xf>
    <xf numFmtId="0" fontId="7" fillId="7" borderId="14" xfId="0" applyFont="1" applyFill="1" applyBorder="1" applyAlignment="1" applyProtection="1">
      <alignment horizontal="center" vertical="center" wrapText="1"/>
    </xf>
    <xf numFmtId="0" fontId="9" fillId="7" borderId="15" xfId="0" applyFont="1" applyFill="1" applyBorder="1" applyAlignment="1" applyProtection="1">
      <alignment horizontal="center"/>
    </xf>
    <xf numFmtId="0" fontId="9" fillId="7" borderId="1" xfId="0" applyFont="1" applyFill="1" applyBorder="1" applyAlignment="1" applyProtection="1">
      <alignment horizontal="center"/>
    </xf>
    <xf numFmtId="0" fontId="9" fillId="7" borderId="16" xfId="0" applyFont="1" applyFill="1" applyBorder="1" applyAlignment="1" applyProtection="1">
      <alignment horizontal="center"/>
    </xf>
    <xf numFmtId="0" fontId="9" fillId="7" borderId="17" xfId="0" applyFont="1" applyFill="1" applyBorder="1" applyAlignment="1" applyProtection="1">
      <alignment horizontal="center"/>
    </xf>
    <xf numFmtId="0" fontId="10" fillId="7" borderId="18" xfId="0" applyFont="1" applyFill="1" applyBorder="1" applyAlignment="1" applyProtection="1">
      <alignment horizontal="center" vertical="center" wrapText="1"/>
    </xf>
    <xf numFmtId="0" fontId="11" fillId="7" borderId="8" xfId="0" applyFont="1" applyFill="1" applyBorder="1" applyAlignment="1" applyProtection="1">
      <alignment horizontal="center"/>
    </xf>
    <xf numFmtId="0" fontId="7" fillId="7" borderId="15" xfId="0" applyFont="1" applyFill="1" applyBorder="1" applyAlignment="1" applyProtection="1">
      <alignment horizontal="center" vertical="center" wrapText="1"/>
    </xf>
    <xf numFmtId="0" fontId="12" fillId="7" borderId="19" xfId="0" applyFont="1" applyFill="1" applyBorder="1" applyAlignment="1" applyProtection="1"/>
    <xf numFmtId="0" fontId="12" fillId="7" borderId="20" xfId="0" applyFont="1" applyFill="1" applyBorder="1" applyAlignment="1" applyProtection="1"/>
    <xf numFmtId="0" fontId="7" fillId="7" borderId="21" xfId="0" applyFont="1" applyFill="1" applyBorder="1" applyAlignment="1" applyProtection="1">
      <alignment horizontal="center" vertical="center" wrapText="1"/>
    </xf>
    <xf numFmtId="0" fontId="12" fillId="7" borderId="22" xfId="0" applyFont="1" applyFill="1" applyBorder="1" applyAlignment="1" applyProtection="1"/>
    <xf numFmtId="0" fontId="12" fillId="7" borderId="23" xfId="0" applyFont="1" applyFill="1" applyBorder="1" applyAlignment="1" applyProtection="1"/>
    <xf numFmtId="0" fontId="7" fillId="7" borderId="24" xfId="0" applyFont="1" applyFill="1" applyBorder="1" applyAlignment="1" applyProtection="1">
      <alignment horizontal="center" vertical="center" wrapText="1"/>
    </xf>
    <xf numFmtId="0" fontId="12" fillId="7" borderId="25" xfId="0" applyFont="1" applyFill="1" applyBorder="1" applyAlignment="1" applyProtection="1"/>
    <xf numFmtId="0" fontId="12" fillId="7" borderId="26" xfId="0" applyFont="1" applyFill="1" applyBorder="1" applyAlignment="1" applyProtection="1"/>
    <xf numFmtId="0" fontId="12" fillId="7" borderId="0" xfId="0" applyFont="1" applyFill="1" applyAlignment="1"/>
    <xf numFmtId="0" fontId="13" fillId="7" borderId="0" xfId="0" applyFont="1" applyFill="1" applyAlignment="1"/>
    <xf numFmtId="0" fontId="14" fillId="9" borderId="27" xfId="0" applyFont="1" applyFill="1" applyBorder="1" applyAlignment="1" applyProtection="1">
      <alignment horizontal="center" vertical="center"/>
    </xf>
    <xf numFmtId="0" fontId="14" fillId="9" borderId="0" xfId="0" applyFont="1" applyFill="1" applyAlignment="1">
      <alignment horizontal="center" vertical="center"/>
    </xf>
    <xf numFmtId="0" fontId="14" fillId="7" borderId="1" xfId="0" applyFont="1" applyFill="1" applyBorder="1" applyAlignment="1" applyProtection="1">
      <alignment horizontal="center" vertical="center"/>
    </xf>
    <xf numFmtId="0" fontId="3" fillId="7" borderId="1" xfId="0" applyFont="1" applyFill="1" applyBorder="1" applyAlignment="1" applyProtection="1">
      <alignment horizontal="center" vertical="center"/>
    </xf>
    <xf numFmtId="58" fontId="3" fillId="7" borderId="1" xfId="0" applyNumberFormat="1" applyFont="1" applyFill="1" applyBorder="1" applyAlignment="1" applyProtection="1">
      <alignment horizontal="center" vertical="center"/>
    </xf>
    <xf numFmtId="3" fontId="3" fillId="7" borderId="1" xfId="0" applyNumberFormat="1" applyFont="1" applyFill="1" applyBorder="1" applyAlignment="1" applyProtection="1">
      <alignment horizontal="center"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theme" Target="theme/theme1.xml"/><Relationship Id="rId8" Type="http://schemas.openxmlformats.org/officeDocument/2006/relationships/worksheet" Target="worksheets/sheet8.xml"/><Relationship Id="rId7" Type="http://schemas.openxmlformats.org/officeDocument/2006/relationships/worksheet" Target="worksheets/sheet7.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1" Type="http://schemas.openxmlformats.org/officeDocument/2006/relationships/styles" Target="styles.xml"/><Relationship Id="rId10" Type="http://schemas.openxmlformats.org/officeDocument/2006/relationships/sharedStrings" Target="sharedStrings.xml"/><Relationship Id="rId1" Type="http://schemas.openxmlformats.org/officeDocument/2006/relationships/worksheet" Target="worksheets/sheet1.xml"/></Relationships>
</file>

<file path=xl/drawings/drawing1.xml><?xml version="1.0" encoding="utf-8"?>
<xdr:wsDr xmlns:xdr="http://schemas.openxmlformats.org/drawingml/2006/spreadsheetDrawing" xmlns:r="http://schemas.openxmlformats.org/officeDocument/2006/relationships" xmlns:a="http://schemas.openxmlformats.org/drawingml/2006/main">
  <xdr:oneCellAnchor>
    <xdr:from>
      <xdr:col>22</xdr:col>
      <xdr:colOff>648154</xdr:colOff>
      <xdr:row>4</xdr:row>
      <xdr:rowOff>12378</xdr:rowOff>
    </xdr:from>
    <xdr:ext cx="94203" cy="6431993"/>
    <xdr:sp>
      <xdr:nvSpPr>
        <xdr:cNvPr id="89" name="shape1"/>
        <xdr:cNvSpPr/>
      </xdr:nvSpPr>
      <xdr:spPr>
        <a:xfrm>
          <a:off x="15646400" y="1174115"/>
          <a:ext cx="94615" cy="6431915"/>
        </a:xfrm>
        <a:prstGeom prst="rect">
          <a:avLst/>
        </a:prstGeom>
        <a:solidFill>
          <a:srgbClr val="6FAD46"/>
        </a:solidFill>
        <a:ln w="12700">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p>
      </xdr:txBody>
    </xdr:sp>
    <xdr:clientData/>
  </xdr:oneCellAnchor>
  <xdr:oneCellAnchor>
    <xdr:from>
      <xdr:col>2</xdr:col>
      <xdr:colOff>627288</xdr:colOff>
      <xdr:row>4</xdr:row>
      <xdr:rowOff>12380</xdr:rowOff>
    </xdr:from>
    <xdr:ext cx="91028" cy="6431993"/>
    <xdr:sp>
      <xdr:nvSpPr>
        <xdr:cNvPr id="67" name="shape2"/>
        <xdr:cNvSpPr/>
      </xdr:nvSpPr>
      <xdr:spPr>
        <a:xfrm>
          <a:off x="2163445" y="1174115"/>
          <a:ext cx="91440" cy="6431915"/>
        </a:xfrm>
        <a:prstGeom prst="rect">
          <a:avLst/>
        </a:prstGeom>
        <a:solidFill>
          <a:srgbClr val="6FAD46"/>
        </a:solidFill>
        <a:ln w="12700">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p>
      </xdr:txBody>
    </xdr:sp>
    <xdr:clientData/>
  </xdr:oneCellAnchor>
  <xdr:oneCellAnchor>
    <xdr:from>
      <xdr:col>6</xdr:col>
      <xdr:colOff>512013</xdr:colOff>
      <xdr:row>4</xdr:row>
      <xdr:rowOff>1348554</xdr:rowOff>
    </xdr:from>
    <xdr:ext cx="952761" cy="256930"/>
    <xdr:sp>
      <xdr:nvSpPr>
        <xdr:cNvPr id="13" name="shape3"/>
        <xdr:cNvSpPr/>
      </xdr:nvSpPr>
      <xdr:spPr>
        <a:xfrm>
          <a:off x="4740910" y="2510155"/>
          <a:ext cx="952500" cy="257175"/>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18288" tIns="18288" rIns="0" bIns="18288" rtlCol="0" anchor="ctr"/>
        <a:lstStyle/>
        <a:p>
          <a:pPr algn="l"/>
          <a:r>
            <a:rPr lang="zh-CN" altLang="en-US" sz="1000" baseline="0">
              <a:solidFill>
                <a:srgbClr val="000000"/>
              </a:solidFill>
              <a:latin typeface="微软雅黑" panose="020B0503020204020204" charset="-122"/>
              <a:ea typeface="微软雅黑" panose="020B0503020204020204" charset="-122"/>
            </a:rPr>
            <a:t>▲ </a:t>
          </a:r>
          <a:r>
            <a:rPr lang="zh-CN" altLang="en-US" sz="1000" baseline="0">
              <a:latin typeface="微软雅黑" panose="020B0503020204020204" charset="-122"/>
              <a:ea typeface="微软雅黑" panose="020B0503020204020204" charset="-122"/>
            </a:rPr>
            <a:t>接口详细设计</a:t>
          </a:r>
          <a:endParaRPr lang="zh-CN" altLang="en-US" sz="1000" baseline="0">
            <a:latin typeface="微软雅黑" panose="020B0503020204020204" charset="-122"/>
            <a:ea typeface="微软雅黑" panose="020B0503020204020204" charset="-122"/>
          </a:endParaRPr>
        </a:p>
      </xdr:txBody>
    </xdr:sp>
    <xdr:clientData/>
  </xdr:oneCellAnchor>
  <xdr:oneCellAnchor>
    <xdr:from>
      <xdr:col>31</xdr:col>
      <xdr:colOff>449035</xdr:colOff>
      <xdr:row>0</xdr:row>
      <xdr:rowOff>144236</xdr:rowOff>
    </xdr:from>
    <xdr:ext cx="1607084" cy="1129845"/>
    <xdr:sp>
      <xdr:nvSpPr>
        <xdr:cNvPr id="14" name="shape4"/>
        <xdr:cNvSpPr/>
      </xdr:nvSpPr>
      <xdr:spPr>
        <a:xfrm>
          <a:off x="21505545" y="144145"/>
          <a:ext cx="1606550" cy="1129665"/>
        </a:xfrm>
        <a:prstGeom prst="rect">
          <a:avLst/>
        </a:prstGeom>
        <a:solidFill>
          <a:srgbClr val="FEFF99">
            <a:alpha val="85001"/>
          </a:srgbClr>
        </a:solidFill>
        <a:ln w="12700">
          <a:solidFill>
            <a:srgbClr val="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27432" tIns="18288" rIns="0" bIns="0" rtlCol="0" anchor="t"/>
        <a:lstStyle/>
        <a:p>
          <a:pPr algn="l"/>
        </a:p>
        <a:p>
          <a:pPr algn="l"/>
          <a:r>
            <a:rPr lang="zh-CN" altLang="en-US" sz="1200" b="1" baseline="0">
              <a:solidFill>
                <a:srgbClr val="000000"/>
              </a:solidFill>
              <a:latin typeface="微软雅黑" panose="020B0503020204020204" charset="-122"/>
              <a:ea typeface="微软雅黑" panose="020B0503020204020204" charset="-122"/>
            </a:rPr>
            <a:t>【示例】</a:t>
          </a:r>
          <a:endParaRPr lang="zh-CN" altLang="en-US" sz="1200" b="1" baseline="0">
            <a:solidFill>
              <a:srgbClr val="000000"/>
            </a:solidFill>
            <a:latin typeface="微软雅黑" panose="020B0503020204020204" charset="-122"/>
            <a:ea typeface="微软雅黑" panose="020B0503020204020204" charset="-122"/>
          </a:endParaRPr>
        </a:p>
        <a:p>
          <a:pPr algn="l"/>
          <a:r>
            <a:rPr lang="zh-CN" altLang="en-US" sz="1200" b="1" baseline="0">
              <a:solidFill>
                <a:srgbClr val="000000"/>
              </a:solidFill>
              <a:latin typeface="微软雅黑" panose="020B0503020204020204" charset="-122"/>
              <a:ea typeface="微软雅黑" panose="020B0503020204020204" charset="-122"/>
            </a:rPr>
            <a:t> </a:t>
          </a:r>
          <a:endParaRPr lang="zh-CN" altLang="en-US" sz="1200" b="1" baseline="0">
            <a:solidFill>
              <a:srgbClr val="000000"/>
            </a:solidFill>
            <a:latin typeface="微软雅黑" panose="020B0503020204020204" charset="-122"/>
            <a:ea typeface="微软雅黑" panose="020B0503020204020204" charset="-122"/>
          </a:endParaRPr>
        </a:p>
        <a:p>
          <a:pPr algn="l"/>
          <a:r>
            <a:rPr lang="zh-CN" altLang="en-US" sz="1200" b="1" baseline="0">
              <a:solidFill>
                <a:srgbClr val="4371C4"/>
              </a:solidFill>
              <a:latin typeface="微软雅黑" panose="020B0503020204020204" charset="-122"/>
              <a:ea typeface="微软雅黑" panose="020B0503020204020204" charset="-122"/>
            </a:rPr>
            <a:t>★：重要事件</a:t>
          </a:r>
          <a:endParaRPr lang="zh-CN" altLang="en-US" sz="1200" b="1" baseline="0">
            <a:solidFill>
              <a:srgbClr val="4371C4"/>
            </a:solidFill>
            <a:latin typeface="微软雅黑" panose="020B0503020204020204" charset="-122"/>
            <a:ea typeface="微软雅黑" panose="020B0503020204020204" charset="-122"/>
          </a:endParaRPr>
        </a:p>
        <a:p>
          <a:pPr algn="l"/>
        </a:p>
        <a:p>
          <a:pPr algn="l"/>
          <a:r>
            <a:rPr lang="zh-CN" altLang="en-US" sz="1200" b="1" baseline="0">
              <a:solidFill>
                <a:srgbClr val="000000"/>
              </a:solidFill>
              <a:latin typeface="微软雅黑" panose="020B0503020204020204" charset="-122"/>
              <a:ea typeface="微软雅黑" panose="020B0503020204020204" charset="-122"/>
            </a:rPr>
            <a:t>▲：重要交付物</a:t>
          </a:r>
          <a:endParaRPr lang="zh-CN" altLang="en-US" sz="1200" b="1" baseline="0">
            <a:solidFill>
              <a:srgbClr val="000000"/>
            </a:solidFill>
            <a:latin typeface="微软雅黑" panose="020B0503020204020204" charset="-122"/>
            <a:ea typeface="微软雅黑" panose="020B0503020204020204" charset="-122"/>
          </a:endParaRPr>
        </a:p>
      </xdr:txBody>
    </xdr:sp>
    <xdr:clientData/>
  </xdr:oneCellAnchor>
  <xdr:oneCellAnchor>
    <xdr:from>
      <xdr:col>14</xdr:col>
      <xdr:colOff>484316</xdr:colOff>
      <xdr:row>5</xdr:row>
      <xdr:rowOff>875012</xdr:rowOff>
    </xdr:from>
    <xdr:ext cx="935641" cy="256930"/>
    <xdr:sp>
      <xdr:nvSpPr>
        <xdr:cNvPr id="16" name="shape5"/>
        <xdr:cNvSpPr/>
      </xdr:nvSpPr>
      <xdr:spPr>
        <a:xfrm>
          <a:off x="10097770" y="4627245"/>
          <a:ext cx="935990" cy="257175"/>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18288" tIns="18288" rIns="0" bIns="18288" rtlCol="0" anchor="ctr"/>
        <a:lstStyle/>
        <a:p>
          <a:pPr algn="l"/>
          <a:r>
            <a:rPr lang="zh-CN" altLang="en-US" sz="1000" baseline="0">
              <a:solidFill>
                <a:srgbClr val="000000"/>
              </a:solidFill>
              <a:latin typeface="微软雅黑" panose="020B0503020204020204" charset="-122"/>
              <a:ea typeface="微软雅黑" panose="020B0503020204020204" charset="-122"/>
            </a:rPr>
            <a:t>▲单元测试报告</a:t>
          </a:r>
          <a:endParaRPr lang="zh-CN" altLang="en-US" sz="1000" baseline="0">
            <a:solidFill>
              <a:srgbClr val="000000"/>
            </a:solidFill>
            <a:latin typeface="微软雅黑" panose="020B0503020204020204" charset="-122"/>
            <a:ea typeface="微软雅黑" panose="020B0503020204020204" charset="-122"/>
          </a:endParaRPr>
        </a:p>
      </xdr:txBody>
    </xdr:sp>
    <xdr:clientData/>
  </xdr:oneCellAnchor>
  <xdr:oneCellAnchor>
    <xdr:from>
      <xdr:col>22</xdr:col>
      <xdr:colOff>82566</xdr:colOff>
      <xdr:row>4</xdr:row>
      <xdr:rowOff>321542</xdr:rowOff>
    </xdr:from>
    <xdr:ext cx="952761" cy="256930"/>
    <xdr:sp>
      <xdr:nvSpPr>
        <xdr:cNvPr id="18" name="shape6"/>
        <xdr:cNvSpPr/>
      </xdr:nvSpPr>
      <xdr:spPr>
        <a:xfrm>
          <a:off x="15081250" y="1483360"/>
          <a:ext cx="952500" cy="25654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18288" tIns="18288" rIns="0" bIns="18288" rtlCol="0" anchor="ctr"/>
        <a:lstStyle/>
        <a:p>
          <a:pPr algn="l"/>
          <a:r>
            <a:rPr lang="zh-CN" altLang="en-US" sz="1000" baseline="0">
              <a:solidFill>
                <a:srgbClr val="000000"/>
              </a:solidFill>
              <a:latin typeface="微软雅黑" panose="020B0503020204020204" charset="-122"/>
              <a:ea typeface="微软雅黑" panose="020B0503020204020204" charset="-122"/>
            </a:rPr>
            <a:t>▲ 用户操作手册</a:t>
          </a:r>
          <a:endParaRPr lang="zh-CN" altLang="en-US" sz="1000" baseline="0">
            <a:solidFill>
              <a:srgbClr val="000000"/>
            </a:solidFill>
            <a:latin typeface="微软雅黑" panose="020B0503020204020204" charset="-122"/>
            <a:ea typeface="微软雅黑" panose="020B0503020204020204" charset="-122"/>
          </a:endParaRPr>
        </a:p>
      </xdr:txBody>
    </xdr:sp>
    <xdr:clientData/>
  </xdr:oneCellAnchor>
  <xdr:oneCellAnchor>
    <xdr:from>
      <xdr:col>1</xdr:col>
      <xdr:colOff>27665</xdr:colOff>
      <xdr:row>4</xdr:row>
      <xdr:rowOff>131089</xdr:rowOff>
    </xdr:from>
    <xdr:ext cx="588659" cy="513525"/>
    <xdr:sp>
      <xdr:nvSpPr>
        <xdr:cNvPr id="20" name="shape7"/>
        <xdr:cNvSpPr/>
      </xdr:nvSpPr>
      <xdr:spPr>
        <a:xfrm>
          <a:off x="890905" y="1292860"/>
          <a:ext cx="588645" cy="513715"/>
        </a:xfrm>
        <a:prstGeom prst="rect">
          <a:avLst/>
        </a:prstGeom>
        <a:solidFill>
          <a:srgbClr val="3265FF"/>
        </a:solidFill>
        <a:ln w="12700">
          <a:solidFill>
            <a:srgbClr val="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36576" tIns="18288" rIns="36576" bIns="18288" rtlCol="0" anchor="ctr"/>
        <a:lstStyle/>
        <a:p>
          <a:pPr algn="ctr"/>
          <a:r>
            <a:rPr lang="zh-CN" altLang="en-US" sz="1200" b="1" baseline="0">
              <a:solidFill>
                <a:srgbClr val="FFFFFF"/>
              </a:solidFill>
              <a:latin typeface="黑体" panose="02010609060101010101" charset="-122"/>
              <a:ea typeface="黑体" panose="02010609060101010101" charset="-122"/>
            </a:rPr>
            <a:t>1.1内部启动</a:t>
          </a:r>
          <a:endParaRPr lang="zh-CN" altLang="en-US" sz="1200" b="1" baseline="0">
            <a:solidFill>
              <a:srgbClr val="FFFFFF"/>
            </a:solidFill>
            <a:latin typeface="黑体" panose="02010609060101010101" charset="-122"/>
            <a:ea typeface="黑体" panose="02010609060101010101" charset="-122"/>
          </a:endParaRPr>
        </a:p>
      </xdr:txBody>
    </xdr:sp>
    <xdr:clientData/>
  </xdr:oneCellAnchor>
  <xdr:oneCellAnchor>
    <xdr:from>
      <xdr:col>20</xdr:col>
      <xdr:colOff>646893</xdr:colOff>
      <xdr:row>4</xdr:row>
      <xdr:rowOff>153857</xdr:rowOff>
    </xdr:from>
    <xdr:ext cx="673000" cy="685706"/>
    <xdr:sp>
      <xdr:nvSpPr>
        <xdr:cNvPr id="21" name="shape8"/>
        <xdr:cNvSpPr/>
      </xdr:nvSpPr>
      <xdr:spPr>
        <a:xfrm>
          <a:off x="14298930" y="1315720"/>
          <a:ext cx="673100" cy="685800"/>
        </a:xfrm>
        <a:prstGeom prst="rect">
          <a:avLst/>
        </a:prstGeom>
        <a:solidFill>
          <a:srgbClr val="3265FF"/>
        </a:solidFill>
        <a:ln w="12700">
          <a:solidFill>
            <a:srgbClr val="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36576" tIns="18288" rIns="36576" bIns="18288" rtlCol="0" anchor="ctr"/>
        <a:lstStyle/>
        <a:p>
          <a:pPr algn="ctr"/>
          <a:r>
            <a:rPr lang="zh-CN" altLang="en-US" sz="1200" b="1" baseline="0">
              <a:solidFill>
                <a:srgbClr val="FFFFFF"/>
              </a:solidFill>
              <a:latin typeface="黑体" panose="02010609060101010101" charset="-122"/>
              <a:ea typeface="黑体" panose="02010609060101010101" charset="-122"/>
            </a:rPr>
            <a:t>4.2 最终用户培训</a:t>
          </a:r>
          <a:endParaRPr lang="zh-CN" altLang="en-US" sz="1200" b="1" baseline="0">
            <a:solidFill>
              <a:srgbClr val="FFFFFF"/>
            </a:solidFill>
            <a:latin typeface="黑体" panose="02010609060101010101" charset="-122"/>
            <a:ea typeface="黑体" panose="02010609060101010101" charset="-122"/>
          </a:endParaRPr>
        </a:p>
      </xdr:txBody>
    </xdr:sp>
    <xdr:clientData/>
  </xdr:oneCellAnchor>
  <xdr:oneCellAnchor>
    <xdr:from>
      <xdr:col>26</xdr:col>
      <xdr:colOff>294670</xdr:colOff>
      <xdr:row>5</xdr:row>
      <xdr:rowOff>1346878</xdr:rowOff>
    </xdr:from>
    <xdr:ext cx="1076325" cy="542925"/>
    <xdr:sp>
      <xdr:nvSpPr>
        <xdr:cNvPr id="22" name="shape9"/>
        <xdr:cNvSpPr/>
      </xdr:nvSpPr>
      <xdr:spPr>
        <a:xfrm>
          <a:off x="17985740" y="5099685"/>
          <a:ext cx="1076325" cy="542925"/>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27432" tIns="18288" rIns="27432" bIns="18288" rtlCol="0" anchor="ctr"/>
        <a:lstStyle/>
        <a:p>
          <a:pPr algn="ctr"/>
          <a:r>
            <a:rPr lang="zh-CN" altLang="en-US" sz="1000" baseline="0">
              <a:solidFill>
                <a:srgbClr val="000000"/>
              </a:solidFill>
              <a:latin typeface="MS PGothic" panose="020B0600070205080204" charset="-128"/>
              <a:ea typeface="MS PGothic" panose="020B0600070205080204" charset="-128"/>
            </a:rPr>
            <a:t>★上线后结果评审</a:t>
          </a:r>
          <a:endParaRPr lang="zh-CN" altLang="en-US" sz="1000" baseline="0">
            <a:solidFill>
              <a:srgbClr val="000000"/>
            </a:solidFill>
            <a:latin typeface="MS PGothic" panose="020B0600070205080204" charset="-128"/>
            <a:ea typeface="MS PGothic" panose="020B0600070205080204" charset="-128"/>
          </a:endParaRPr>
        </a:p>
        <a:p>
          <a:pPr algn="ctr"/>
          <a:r>
            <a:rPr lang="zh-CN" altLang="en-US" sz="1000" baseline="0">
              <a:solidFill>
                <a:srgbClr val="000000"/>
              </a:solidFill>
              <a:latin typeface="MS PGothic" panose="020B0600070205080204" charset="-128"/>
              <a:ea typeface="MS PGothic" panose="020B0600070205080204" charset="-128"/>
            </a:rPr>
            <a:t>(2/26）</a:t>
          </a:r>
          <a:endParaRPr lang="zh-CN" altLang="en-US" sz="1000" baseline="0">
            <a:solidFill>
              <a:srgbClr val="000000"/>
            </a:solidFill>
            <a:latin typeface="MS PGothic" panose="020B0600070205080204" charset="-128"/>
            <a:ea typeface="MS PGothic" panose="020B0600070205080204" charset="-128"/>
          </a:endParaRPr>
        </a:p>
      </xdr:txBody>
    </xdr:sp>
    <xdr:clientData/>
  </xdr:oneCellAnchor>
  <xdr:oneCellAnchor>
    <xdr:from>
      <xdr:col>3</xdr:col>
      <xdr:colOff>86322</xdr:colOff>
      <xdr:row>3</xdr:row>
      <xdr:rowOff>216060</xdr:rowOff>
    </xdr:from>
    <xdr:ext cx="1359237" cy="254587"/>
    <xdr:sp>
      <xdr:nvSpPr>
        <xdr:cNvPr id="23" name="shape10"/>
        <xdr:cNvSpPr/>
      </xdr:nvSpPr>
      <xdr:spPr>
        <a:xfrm>
          <a:off x="2295525" y="831850"/>
          <a:ext cx="1359535" cy="254635"/>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27432" tIns="18288" rIns="27432" bIns="18288" rtlCol="0" anchor="ctr"/>
        <a:lstStyle/>
        <a:p>
          <a:pPr algn="ctr"/>
          <a:r>
            <a:rPr lang="zh-CN" altLang="en-US" sz="1000" b="1" baseline="0">
              <a:solidFill>
                <a:srgbClr val="4371C4"/>
              </a:solidFill>
              <a:latin typeface="微软雅黑" panose="020B0503020204020204" charset="-122"/>
              <a:ea typeface="微软雅黑" panose="020B0503020204020204" charset="-122"/>
            </a:rPr>
            <a:t>★ 调研开始（8/21)</a:t>
          </a:r>
          <a:endParaRPr lang="zh-CN" altLang="en-US" sz="1000" b="1" baseline="0">
            <a:solidFill>
              <a:srgbClr val="4371C4"/>
            </a:solidFill>
            <a:latin typeface="微软雅黑" panose="020B0503020204020204" charset="-122"/>
            <a:ea typeface="微软雅黑" panose="020B0503020204020204" charset="-122"/>
          </a:endParaRPr>
        </a:p>
      </xdr:txBody>
    </xdr:sp>
    <xdr:clientData/>
  </xdr:oneCellAnchor>
  <xdr:oneCellAnchor>
    <xdr:from>
      <xdr:col>7</xdr:col>
      <xdr:colOff>215901</xdr:colOff>
      <xdr:row>3</xdr:row>
      <xdr:rowOff>274030</xdr:rowOff>
    </xdr:from>
    <xdr:ext cx="1362075" cy="180975"/>
    <xdr:sp>
      <xdr:nvSpPr>
        <xdr:cNvPr id="27" name="shape11"/>
        <xdr:cNvSpPr/>
      </xdr:nvSpPr>
      <xdr:spPr>
        <a:xfrm>
          <a:off x="5118100" y="889635"/>
          <a:ext cx="1362075" cy="180975"/>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27432" tIns="18288" rIns="27432" bIns="18288" rtlCol="0" anchor="ctr"/>
        <a:lstStyle/>
        <a:p>
          <a:pPr algn="ctr"/>
          <a:r>
            <a:rPr lang="zh-CN" altLang="en-US" sz="1000" b="1" baseline="0">
              <a:solidFill>
                <a:srgbClr val="4371C4"/>
              </a:solidFill>
              <a:latin typeface="微软雅黑" panose="020B0503020204020204" charset="-122"/>
              <a:ea typeface="微软雅黑" panose="020B0503020204020204" charset="-122"/>
            </a:rPr>
            <a:t>★蓝图评审结束(9/25)</a:t>
          </a:r>
          <a:endParaRPr lang="zh-CN" altLang="en-US" sz="1000" b="1" baseline="0">
            <a:solidFill>
              <a:srgbClr val="4371C4"/>
            </a:solidFill>
            <a:latin typeface="微软雅黑" panose="020B0503020204020204" charset="-122"/>
            <a:ea typeface="微软雅黑" panose="020B0503020204020204" charset="-122"/>
          </a:endParaRPr>
        </a:p>
      </xdr:txBody>
    </xdr:sp>
    <xdr:clientData/>
  </xdr:oneCellAnchor>
  <xdr:oneCellAnchor>
    <xdr:from>
      <xdr:col>6</xdr:col>
      <xdr:colOff>353220</xdr:colOff>
      <xdr:row>3</xdr:row>
      <xdr:rowOff>60787</xdr:rowOff>
    </xdr:from>
    <xdr:ext cx="1402929" cy="219305"/>
    <xdr:sp>
      <xdr:nvSpPr>
        <xdr:cNvPr id="32" name="shape12"/>
        <xdr:cNvSpPr/>
      </xdr:nvSpPr>
      <xdr:spPr>
        <a:xfrm>
          <a:off x="4582160" y="676275"/>
          <a:ext cx="1402715" cy="21971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27432" tIns="18288" rIns="27432" bIns="18288" rtlCol="0" anchor="ctr"/>
        <a:lstStyle/>
        <a:p>
          <a:pPr algn="ctr"/>
          <a:r>
            <a:rPr lang="zh-CN" altLang="en-US" sz="1000" b="1" baseline="0">
              <a:solidFill>
                <a:srgbClr val="4371C4"/>
              </a:solidFill>
              <a:latin typeface="微软雅黑" panose="020B0503020204020204" charset="-122"/>
              <a:ea typeface="微软雅黑" panose="020B0503020204020204" charset="-122"/>
            </a:rPr>
            <a:t>★蓝图评审开始（9/17）</a:t>
          </a:r>
          <a:endParaRPr lang="zh-CN" altLang="en-US" sz="1000" b="1" baseline="0">
            <a:solidFill>
              <a:srgbClr val="4371C4"/>
            </a:solidFill>
            <a:latin typeface="微软雅黑" panose="020B0503020204020204" charset="-122"/>
            <a:ea typeface="微软雅黑" panose="020B0503020204020204" charset="-122"/>
          </a:endParaRPr>
        </a:p>
      </xdr:txBody>
    </xdr:sp>
    <xdr:clientData/>
  </xdr:oneCellAnchor>
  <xdr:oneCellAnchor>
    <xdr:from>
      <xdr:col>7</xdr:col>
      <xdr:colOff>600074</xdr:colOff>
      <xdr:row>4</xdr:row>
      <xdr:rowOff>1947</xdr:rowOff>
    </xdr:from>
    <xdr:ext cx="94203" cy="6419293"/>
    <xdr:sp>
      <xdr:nvSpPr>
        <xdr:cNvPr id="66" name="shape13"/>
        <xdr:cNvSpPr/>
      </xdr:nvSpPr>
      <xdr:spPr>
        <a:xfrm>
          <a:off x="5501640" y="1163955"/>
          <a:ext cx="94615" cy="6419215"/>
        </a:xfrm>
        <a:prstGeom prst="rect">
          <a:avLst/>
        </a:prstGeom>
        <a:solidFill>
          <a:srgbClr val="6FAD46"/>
        </a:solidFill>
        <a:ln w="12700">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p>
      </xdr:txBody>
    </xdr:sp>
    <xdr:clientData/>
  </xdr:oneCellAnchor>
  <xdr:oneCellAnchor>
    <xdr:from>
      <xdr:col>18</xdr:col>
      <xdr:colOff>38658</xdr:colOff>
      <xdr:row>6</xdr:row>
      <xdr:rowOff>163986</xdr:rowOff>
    </xdr:from>
    <xdr:ext cx="1994249" cy="494475"/>
    <xdr:sp>
      <xdr:nvSpPr>
        <xdr:cNvPr id="36" name="shape14"/>
        <xdr:cNvSpPr/>
      </xdr:nvSpPr>
      <xdr:spPr>
        <a:xfrm>
          <a:off x="12344400" y="6139180"/>
          <a:ext cx="1994535" cy="494030"/>
        </a:xfrm>
        <a:prstGeom prst="rect">
          <a:avLst/>
        </a:prstGeom>
        <a:solidFill>
          <a:srgbClr val="CCFEFE"/>
        </a:solidFill>
        <a:ln w="12700">
          <a:solidFill>
            <a:srgbClr val="000000"/>
          </a:solidFill>
          <a:prstDash val="dash"/>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36576" tIns="18288" rIns="36576" bIns="18288" rtlCol="0" anchor="ctr"/>
        <a:lstStyle/>
        <a:p>
          <a:pPr algn="ctr"/>
          <a:r>
            <a:rPr lang="zh-CN" altLang="en-US" sz="1200" b="1" baseline="0">
              <a:solidFill>
                <a:srgbClr val="000000"/>
              </a:solidFill>
              <a:latin typeface="黑体" panose="02010609060101010101" charset="-122"/>
              <a:ea typeface="黑体" panose="02010609060101010101" charset="-122"/>
            </a:rPr>
            <a:t>4.1 UAT/试运行</a:t>
          </a:r>
          <a:endParaRPr lang="zh-CN" altLang="en-US" sz="1200" b="1" baseline="0">
            <a:solidFill>
              <a:srgbClr val="000000"/>
            </a:solidFill>
            <a:latin typeface="黑体" panose="02010609060101010101" charset="-122"/>
            <a:ea typeface="黑体" panose="02010609060101010101" charset="-122"/>
          </a:endParaRPr>
        </a:p>
      </xdr:txBody>
    </xdr:sp>
    <xdr:clientData/>
  </xdr:oneCellAnchor>
  <xdr:oneCellAnchor>
    <xdr:from>
      <xdr:col>20</xdr:col>
      <xdr:colOff>561444</xdr:colOff>
      <xdr:row>3</xdr:row>
      <xdr:rowOff>243876</xdr:rowOff>
    </xdr:from>
    <xdr:ext cx="1550839" cy="314017"/>
    <xdr:sp>
      <xdr:nvSpPr>
        <xdr:cNvPr id="37" name="shape15"/>
        <xdr:cNvSpPr/>
      </xdr:nvSpPr>
      <xdr:spPr>
        <a:xfrm>
          <a:off x="14213840" y="859790"/>
          <a:ext cx="1550670" cy="31369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27432" tIns="18288" rIns="27432" bIns="18288" rtlCol="0" anchor="ctr"/>
        <a:lstStyle/>
        <a:p>
          <a:pPr algn="ctr"/>
          <a:r>
            <a:rPr lang="zh-CN" altLang="en-US" sz="1000" b="1" baseline="0">
              <a:solidFill>
                <a:srgbClr val="4371C4"/>
              </a:solidFill>
              <a:latin typeface="微软雅黑" panose="020B0503020204020204" charset="-122"/>
              <a:ea typeface="微软雅黑" panose="020B0503020204020204" charset="-122"/>
            </a:rPr>
            <a:t>★上线判定（12/26）</a:t>
          </a:r>
          <a:endParaRPr lang="zh-CN" altLang="en-US" sz="1000" b="1" baseline="0">
            <a:solidFill>
              <a:srgbClr val="4371C4"/>
            </a:solidFill>
            <a:latin typeface="微软雅黑" panose="020B0503020204020204" charset="-122"/>
            <a:ea typeface="微软雅黑" panose="020B0503020204020204" charset="-122"/>
          </a:endParaRPr>
        </a:p>
      </xdr:txBody>
    </xdr:sp>
    <xdr:clientData/>
  </xdr:oneCellAnchor>
  <xdr:oneCellAnchor>
    <xdr:from>
      <xdr:col>22</xdr:col>
      <xdr:colOff>558347</xdr:colOff>
      <xdr:row>3</xdr:row>
      <xdr:rowOff>238550</xdr:rowOff>
    </xdr:from>
    <xdr:ext cx="1193647" cy="288953"/>
    <xdr:sp>
      <xdr:nvSpPr>
        <xdr:cNvPr id="39" name="shape16"/>
        <xdr:cNvSpPr/>
      </xdr:nvSpPr>
      <xdr:spPr>
        <a:xfrm>
          <a:off x="15556865" y="854075"/>
          <a:ext cx="1193800" cy="288925"/>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27432" tIns="18288" rIns="27432" bIns="18288" rtlCol="0" anchor="ctr"/>
        <a:lstStyle/>
        <a:p>
          <a:pPr algn="ctr"/>
          <a:r>
            <a:rPr lang="zh-CN" altLang="en-US" sz="1000" b="1" baseline="0">
              <a:solidFill>
                <a:srgbClr val="4371C4"/>
              </a:solidFill>
              <a:latin typeface="微软雅黑" panose="020B0503020204020204" charset="-122"/>
              <a:ea typeface="微软雅黑" panose="020B0503020204020204" charset="-122"/>
            </a:rPr>
            <a:t>★上线（1/8）</a:t>
          </a:r>
          <a:endParaRPr lang="zh-CN" altLang="en-US" sz="1000" b="1" baseline="0">
            <a:solidFill>
              <a:srgbClr val="4371C4"/>
            </a:solidFill>
            <a:latin typeface="微软雅黑" panose="020B0503020204020204" charset="-122"/>
            <a:ea typeface="微软雅黑" panose="020B0503020204020204" charset="-122"/>
          </a:endParaRPr>
        </a:p>
      </xdr:txBody>
    </xdr:sp>
    <xdr:clientData/>
  </xdr:oneCellAnchor>
  <xdr:oneCellAnchor>
    <xdr:from>
      <xdr:col>23</xdr:col>
      <xdr:colOff>63387</xdr:colOff>
      <xdr:row>6</xdr:row>
      <xdr:rowOff>135133</xdr:rowOff>
    </xdr:from>
    <xdr:ext cx="4441031" cy="533650"/>
    <xdr:sp>
      <xdr:nvSpPr>
        <xdr:cNvPr id="41" name="shape17"/>
        <xdr:cNvSpPr/>
      </xdr:nvSpPr>
      <xdr:spPr>
        <a:xfrm>
          <a:off x="15734665" y="6109970"/>
          <a:ext cx="4441190" cy="534035"/>
        </a:xfrm>
        <a:prstGeom prst="rect">
          <a:avLst/>
        </a:prstGeom>
        <a:solidFill>
          <a:srgbClr val="CCFEFE"/>
        </a:solidFill>
        <a:ln w="12700">
          <a:solidFill>
            <a:srgbClr val="000000"/>
          </a:solidFill>
          <a:prstDash val="dash"/>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36576" tIns="18288" rIns="36576" bIns="18288" rtlCol="0" anchor="ctr"/>
        <a:lstStyle/>
        <a:p>
          <a:pPr algn="ctr"/>
          <a:r>
            <a:rPr lang="zh-CN" altLang="en-US" sz="1200" b="1" baseline="0">
              <a:solidFill>
                <a:srgbClr val="000000"/>
              </a:solidFill>
              <a:latin typeface="黑体" panose="02010609060101010101" charset="-122"/>
              <a:ea typeface="黑体" panose="02010609060101010101" charset="-122"/>
            </a:rPr>
            <a:t>5.1 上线辅导与验收</a:t>
          </a:r>
          <a:endParaRPr lang="zh-CN" altLang="en-US" sz="1200" b="1" baseline="0">
            <a:solidFill>
              <a:srgbClr val="000000"/>
            </a:solidFill>
            <a:latin typeface="黑体" panose="02010609060101010101" charset="-122"/>
            <a:ea typeface="黑体" panose="02010609060101010101" charset="-122"/>
          </a:endParaRPr>
        </a:p>
      </xdr:txBody>
    </xdr:sp>
    <xdr:clientData/>
  </xdr:oneCellAnchor>
  <xdr:oneCellAnchor>
    <xdr:from>
      <xdr:col>1</xdr:col>
      <xdr:colOff>314692</xdr:colOff>
      <xdr:row>4</xdr:row>
      <xdr:rowOff>809897</xdr:rowOff>
    </xdr:from>
    <xdr:ext cx="725026" cy="507175"/>
    <xdr:sp>
      <xdr:nvSpPr>
        <xdr:cNvPr id="48" name="shape18"/>
        <xdr:cNvSpPr/>
      </xdr:nvSpPr>
      <xdr:spPr>
        <a:xfrm>
          <a:off x="1177925" y="1971675"/>
          <a:ext cx="725170" cy="507365"/>
        </a:xfrm>
        <a:prstGeom prst="rect">
          <a:avLst/>
        </a:prstGeom>
        <a:solidFill>
          <a:srgbClr val="3265FF"/>
        </a:solidFill>
        <a:ln w="12700">
          <a:solidFill>
            <a:srgbClr val="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36576" tIns="18288" rIns="36576" bIns="18288" rtlCol="0" anchor="ctr"/>
        <a:lstStyle/>
        <a:p>
          <a:pPr algn="ctr"/>
          <a:r>
            <a:rPr lang="zh-CN" altLang="en-US" sz="1200" b="1" baseline="0">
              <a:solidFill>
                <a:srgbClr val="FFFFFF"/>
              </a:solidFill>
              <a:latin typeface="黑体" panose="02010609060101010101" charset="-122"/>
              <a:ea typeface="黑体" panose="02010609060101010101" charset="-122"/>
            </a:rPr>
            <a:t>1.2技术准备</a:t>
          </a:r>
          <a:endParaRPr lang="zh-CN" altLang="en-US" sz="1200" b="1" baseline="0">
            <a:solidFill>
              <a:srgbClr val="FFFFFF"/>
            </a:solidFill>
            <a:latin typeface="黑体" panose="02010609060101010101" charset="-122"/>
            <a:ea typeface="黑体" panose="02010609060101010101" charset="-122"/>
          </a:endParaRPr>
        </a:p>
      </xdr:txBody>
    </xdr:sp>
    <xdr:clientData/>
  </xdr:oneCellAnchor>
  <xdr:oneCellAnchor>
    <xdr:from>
      <xdr:col>1</xdr:col>
      <xdr:colOff>661146</xdr:colOff>
      <xdr:row>4</xdr:row>
      <xdr:rowOff>1416695</xdr:rowOff>
    </xdr:from>
    <xdr:ext cx="673100" cy="516700"/>
    <xdr:sp>
      <xdr:nvSpPr>
        <xdr:cNvPr id="49" name="shape19"/>
        <xdr:cNvSpPr/>
      </xdr:nvSpPr>
      <xdr:spPr>
        <a:xfrm>
          <a:off x="1524635" y="2578735"/>
          <a:ext cx="673100" cy="516255"/>
        </a:xfrm>
        <a:prstGeom prst="rect">
          <a:avLst/>
        </a:prstGeom>
        <a:solidFill>
          <a:srgbClr val="3265FF"/>
        </a:solidFill>
        <a:ln w="12700">
          <a:solidFill>
            <a:srgbClr val="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36576" tIns="18288" rIns="36576" bIns="18288" rtlCol="0" anchor="ctr"/>
        <a:lstStyle/>
        <a:p>
          <a:pPr algn="ctr"/>
          <a:r>
            <a:rPr lang="zh-CN" altLang="en-US" sz="1200" b="1" baseline="0">
              <a:solidFill>
                <a:srgbClr val="FFFFFF"/>
              </a:solidFill>
              <a:latin typeface="黑体" panose="02010609060101010101" charset="-122"/>
              <a:ea typeface="黑体" panose="02010609060101010101" charset="-122"/>
            </a:rPr>
            <a:t>1.3项目启动</a:t>
          </a:r>
          <a:endParaRPr lang="zh-CN" altLang="en-US" sz="1200" b="1" baseline="0">
            <a:solidFill>
              <a:srgbClr val="FFFFFF"/>
            </a:solidFill>
            <a:latin typeface="黑体" panose="02010609060101010101" charset="-122"/>
            <a:ea typeface="黑体" panose="02010609060101010101" charset="-122"/>
          </a:endParaRPr>
        </a:p>
      </xdr:txBody>
    </xdr:sp>
    <xdr:clientData/>
  </xdr:oneCellAnchor>
  <xdr:oneCellAnchor>
    <xdr:from>
      <xdr:col>4</xdr:col>
      <xdr:colOff>335290</xdr:colOff>
      <xdr:row>4</xdr:row>
      <xdr:rowOff>856080</xdr:rowOff>
    </xdr:from>
    <xdr:ext cx="2322746" cy="494475"/>
    <xdr:sp>
      <xdr:nvSpPr>
        <xdr:cNvPr id="50" name="shape20"/>
        <xdr:cNvSpPr/>
      </xdr:nvSpPr>
      <xdr:spPr>
        <a:xfrm>
          <a:off x="3218180" y="2018030"/>
          <a:ext cx="2322195" cy="494030"/>
        </a:xfrm>
        <a:prstGeom prst="rect">
          <a:avLst/>
        </a:prstGeom>
        <a:solidFill>
          <a:srgbClr val="3265FF"/>
        </a:solidFill>
        <a:ln w="12700">
          <a:solidFill>
            <a:srgbClr val="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36576" tIns="18288" rIns="36576" bIns="18288" rtlCol="0" anchor="ctr"/>
        <a:lstStyle/>
        <a:p>
          <a:pPr algn="ctr"/>
          <a:r>
            <a:rPr lang="zh-CN" altLang="en-US" sz="1200" b="1" baseline="0">
              <a:solidFill>
                <a:srgbClr val="FFFFFF"/>
              </a:solidFill>
              <a:latin typeface="黑体" panose="02010609060101010101" charset="-122"/>
              <a:ea typeface="黑体" panose="02010609060101010101" charset="-122"/>
            </a:rPr>
            <a:t>2.2系统蓝图设计</a:t>
          </a:r>
          <a:endParaRPr lang="zh-CN" altLang="en-US" sz="1200" b="1" baseline="0">
            <a:solidFill>
              <a:srgbClr val="FFFFFF"/>
            </a:solidFill>
            <a:latin typeface="黑体" panose="02010609060101010101" charset="-122"/>
            <a:ea typeface="黑体" panose="02010609060101010101" charset="-122"/>
          </a:endParaRPr>
        </a:p>
      </xdr:txBody>
    </xdr:sp>
    <xdr:clientData/>
  </xdr:oneCellAnchor>
  <xdr:oneCellAnchor>
    <xdr:from>
      <xdr:col>4</xdr:col>
      <xdr:colOff>207437</xdr:colOff>
      <xdr:row>6</xdr:row>
      <xdr:rowOff>163740</xdr:rowOff>
    </xdr:from>
    <xdr:ext cx="7760906" cy="513525"/>
    <xdr:sp>
      <xdr:nvSpPr>
        <xdr:cNvPr id="51" name="shape21"/>
        <xdr:cNvSpPr/>
      </xdr:nvSpPr>
      <xdr:spPr>
        <a:xfrm>
          <a:off x="3089910" y="6138545"/>
          <a:ext cx="7760970" cy="513715"/>
        </a:xfrm>
        <a:prstGeom prst="rect">
          <a:avLst/>
        </a:prstGeom>
        <a:solidFill>
          <a:srgbClr val="CCFEFE"/>
        </a:solidFill>
        <a:ln w="12700">
          <a:solidFill>
            <a:srgbClr val="000000"/>
          </a:solidFill>
          <a:prstDash val="dash"/>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36576" tIns="18288" rIns="36576" bIns="18288" rtlCol="0" anchor="ctr"/>
        <a:lstStyle/>
        <a:p>
          <a:pPr algn="ctr"/>
          <a:r>
            <a:rPr lang="zh-CN" altLang="en-US" sz="1200" b="1" baseline="0">
              <a:solidFill>
                <a:srgbClr val="000000"/>
              </a:solidFill>
              <a:latin typeface="黑体" panose="02010609060101010101" charset="-122"/>
              <a:ea typeface="黑体" panose="02010609060101010101" charset="-122"/>
            </a:rPr>
            <a:t>2.4输入数据处理与收集</a:t>
          </a:r>
          <a:endParaRPr lang="zh-CN" altLang="en-US" sz="1200" b="1" baseline="0">
            <a:solidFill>
              <a:srgbClr val="000000"/>
            </a:solidFill>
            <a:latin typeface="黑体" panose="02010609060101010101" charset="-122"/>
            <a:ea typeface="黑体" panose="02010609060101010101" charset="-122"/>
          </a:endParaRPr>
        </a:p>
      </xdr:txBody>
    </xdr:sp>
    <xdr:clientData/>
  </xdr:oneCellAnchor>
  <xdr:oneCellAnchor>
    <xdr:from>
      <xdr:col>5</xdr:col>
      <xdr:colOff>2450</xdr:colOff>
      <xdr:row>4</xdr:row>
      <xdr:rowOff>1596575</xdr:rowOff>
    </xdr:from>
    <xdr:ext cx="2028057" cy="519875"/>
    <xdr:sp>
      <xdr:nvSpPr>
        <xdr:cNvPr id="52" name="shape22"/>
        <xdr:cNvSpPr/>
      </xdr:nvSpPr>
      <xdr:spPr>
        <a:xfrm>
          <a:off x="3557905" y="2758440"/>
          <a:ext cx="2028190" cy="519430"/>
        </a:xfrm>
        <a:prstGeom prst="rect">
          <a:avLst/>
        </a:prstGeom>
        <a:solidFill>
          <a:srgbClr val="3265FF"/>
        </a:solidFill>
        <a:ln w="12700">
          <a:solidFill>
            <a:srgbClr val="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36576" tIns="18288" rIns="36576" bIns="18288" rtlCol="0" anchor="ctr"/>
        <a:lstStyle/>
        <a:p>
          <a:pPr algn="ctr"/>
          <a:r>
            <a:rPr lang="zh-CN" altLang="en-US" sz="1200" b="1" baseline="0">
              <a:solidFill>
                <a:srgbClr val="FFFFFF"/>
              </a:solidFill>
              <a:latin typeface="黑体" panose="02010609060101010101" charset="-122"/>
              <a:ea typeface="黑体" panose="02010609060101010101" charset="-122"/>
            </a:rPr>
            <a:t>2.3接口详细设计</a:t>
          </a:r>
          <a:endParaRPr lang="zh-CN" altLang="en-US" sz="1200" b="1" baseline="0">
            <a:solidFill>
              <a:srgbClr val="FFFFFF"/>
            </a:solidFill>
            <a:latin typeface="黑体" panose="02010609060101010101" charset="-122"/>
            <a:ea typeface="黑体" panose="02010609060101010101" charset="-122"/>
          </a:endParaRPr>
        </a:p>
      </xdr:txBody>
    </xdr:sp>
    <xdr:clientData/>
  </xdr:oneCellAnchor>
  <xdr:oneCellAnchor>
    <xdr:from>
      <xdr:col>4</xdr:col>
      <xdr:colOff>258558</xdr:colOff>
      <xdr:row>6</xdr:row>
      <xdr:rowOff>879370</xdr:rowOff>
    </xdr:from>
    <xdr:ext cx="5065463" cy="504000"/>
    <xdr:sp>
      <xdr:nvSpPr>
        <xdr:cNvPr id="53" name="shape23"/>
        <xdr:cNvSpPr/>
      </xdr:nvSpPr>
      <xdr:spPr>
        <a:xfrm>
          <a:off x="3141345" y="6854190"/>
          <a:ext cx="5065395" cy="504190"/>
        </a:xfrm>
        <a:prstGeom prst="rect">
          <a:avLst/>
        </a:prstGeom>
        <a:solidFill>
          <a:srgbClr val="CCFEFE"/>
        </a:solidFill>
        <a:ln w="12700">
          <a:solidFill>
            <a:srgbClr val="000000"/>
          </a:solidFill>
          <a:prstDash val="dash"/>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36576" tIns="18288" rIns="36576" bIns="18288" rtlCol="0" anchor="ctr"/>
        <a:lstStyle/>
        <a:p>
          <a:pPr algn="ctr"/>
          <a:r>
            <a:rPr lang="zh-CN" altLang="en-US" sz="1200" b="1" baseline="0">
              <a:solidFill>
                <a:srgbClr val="000000"/>
              </a:solidFill>
              <a:latin typeface="黑体" panose="02010609060101010101" charset="-122"/>
              <a:ea typeface="黑体" panose="02010609060101010101" charset="-122"/>
            </a:rPr>
            <a:t>2.5运行环境准备</a:t>
          </a:r>
          <a:endParaRPr lang="zh-CN" altLang="en-US" sz="1200" b="1" baseline="0">
            <a:solidFill>
              <a:srgbClr val="000000"/>
            </a:solidFill>
            <a:latin typeface="黑体" panose="02010609060101010101" charset="-122"/>
            <a:ea typeface="黑体" panose="02010609060101010101" charset="-122"/>
          </a:endParaRPr>
        </a:p>
      </xdr:txBody>
    </xdr:sp>
    <xdr:clientData/>
  </xdr:oneCellAnchor>
  <xdr:oneCellAnchor>
    <xdr:from>
      <xdr:col>27</xdr:col>
      <xdr:colOff>547688</xdr:colOff>
      <xdr:row>3</xdr:row>
      <xdr:rowOff>416718</xdr:rowOff>
    </xdr:from>
    <xdr:ext cx="851693" cy="6619081"/>
    <xdr:sp>
      <xdr:nvSpPr>
        <xdr:cNvPr id="2" name="shape24"/>
        <xdr:cNvSpPr/>
      </xdr:nvSpPr>
      <xdr:spPr>
        <a:xfrm>
          <a:off x="18911570" y="1032510"/>
          <a:ext cx="851535" cy="6618605"/>
        </a:xfrm>
        <a:prstGeom prst="rect">
          <a:avLst/>
        </a:prstGeom>
        <a:solidFill>
          <a:srgbClr val="C0C0C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zh-CN" altLang="en-US" sz="1100" baseline="0">
              <a:latin typeface="等线 Light" panose="02010600030101010101" charset="-122"/>
            </a:rPr>
            <a:t>春节</a:t>
          </a:r>
          <a:endParaRPr lang="zh-CN" altLang="en-US" sz="1100" baseline="0">
            <a:latin typeface="等线 Light" panose="02010600030101010101" charset="-122"/>
          </a:endParaRPr>
        </a:p>
      </xdr:txBody>
    </xdr:sp>
    <xdr:clientData/>
  </xdr:oneCellAnchor>
  <xdr:oneCellAnchor>
    <xdr:from>
      <xdr:col>7</xdr:col>
      <xdr:colOff>47110</xdr:colOff>
      <xdr:row>5</xdr:row>
      <xdr:rowOff>106087</xdr:rowOff>
    </xdr:from>
    <xdr:ext cx="830097" cy="494475"/>
    <xdr:sp>
      <xdr:nvSpPr>
        <xdr:cNvPr id="54" name="shape25"/>
        <xdr:cNvSpPr/>
      </xdr:nvSpPr>
      <xdr:spPr>
        <a:xfrm>
          <a:off x="4949190" y="3858895"/>
          <a:ext cx="829945" cy="494030"/>
        </a:xfrm>
        <a:prstGeom prst="rect">
          <a:avLst/>
        </a:prstGeom>
        <a:solidFill>
          <a:srgbClr val="3265FF"/>
        </a:solidFill>
        <a:ln w="12700">
          <a:solidFill>
            <a:srgbClr val="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36576" tIns="18288" rIns="36576" bIns="18288" rtlCol="0" anchor="ctr"/>
        <a:lstStyle/>
        <a:p>
          <a:pPr algn="ctr"/>
          <a:r>
            <a:rPr lang="zh-CN" altLang="en-US" sz="1200" b="1" baseline="0">
              <a:solidFill>
                <a:srgbClr val="FFFFFF"/>
              </a:solidFill>
              <a:latin typeface="黑体" panose="02010609060101010101" charset="-122"/>
              <a:ea typeface="黑体" panose="02010609060101010101" charset="-122"/>
            </a:rPr>
            <a:t>3.1系统实现准备</a:t>
          </a:r>
          <a:endParaRPr lang="zh-CN" altLang="en-US" sz="1200" b="1" baseline="0">
            <a:solidFill>
              <a:srgbClr val="FFFFFF"/>
            </a:solidFill>
            <a:latin typeface="黑体" panose="02010609060101010101" charset="-122"/>
            <a:ea typeface="黑体" panose="02010609060101010101" charset="-122"/>
          </a:endParaRPr>
        </a:p>
      </xdr:txBody>
    </xdr:sp>
    <xdr:clientData/>
  </xdr:oneCellAnchor>
  <xdr:oneCellAnchor>
    <xdr:from>
      <xdr:col>10</xdr:col>
      <xdr:colOff>637130</xdr:colOff>
      <xdr:row>5</xdr:row>
      <xdr:rowOff>757908</xdr:rowOff>
    </xdr:from>
    <xdr:ext cx="2405881" cy="494475"/>
    <xdr:sp>
      <xdr:nvSpPr>
        <xdr:cNvPr id="55" name="shape26"/>
        <xdr:cNvSpPr/>
      </xdr:nvSpPr>
      <xdr:spPr>
        <a:xfrm>
          <a:off x="7558405" y="4510405"/>
          <a:ext cx="2406015" cy="494665"/>
        </a:xfrm>
        <a:prstGeom prst="rect">
          <a:avLst/>
        </a:prstGeom>
        <a:solidFill>
          <a:srgbClr val="3265FF"/>
        </a:solidFill>
        <a:ln w="12700">
          <a:solidFill>
            <a:srgbClr val="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36576" tIns="18288" rIns="36576" bIns="18288" rtlCol="0" anchor="ctr"/>
        <a:lstStyle/>
        <a:p>
          <a:pPr algn="ctr"/>
          <a:r>
            <a:rPr lang="zh-CN" altLang="en-US" sz="1200" b="1" baseline="0">
              <a:solidFill>
                <a:srgbClr val="FFFFFF"/>
              </a:solidFill>
              <a:latin typeface="黑体" panose="02010609060101010101" charset="-122"/>
              <a:ea typeface="黑体" panose="02010609060101010101" charset="-122"/>
            </a:rPr>
            <a:t>3.2 V2.0开发与用户确认</a:t>
          </a:r>
          <a:endParaRPr lang="zh-CN" altLang="en-US" sz="1200" b="1" baseline="0">
            <a:solidFill>
              <a:srgbClr val="FFFFFF"/>
            </a:solidFill>
            <a:latin typeface="黑体" panose="02010609060101010101" charset="-122"/>
            <a:ea typeface="黑体" panose="02010609060101010101" charset="-122"/>
          </a:endParaRPr>
        </a:p>
      </xdr:txBody>
    </xdr:sp>
    <xdr:clientData/>
  </xdr:oneCellAnchor>
  <xdr:oneCellAnchor>
    <xdr:from>
      <xdr:col>12</xdr:col>
      <xdr:colOff>381772</xdr:colOff>
      <xdr:row>5</xdr:row>
      <xdr:rowOff>1396640</xdr:rowOff>
    </xdr:from>
    <xdr:ext cx="2198596" cy="504000"/>
    <xdr:sp>
      <xdr:nvSpPr>
        <xdr:cNvPr id="56" name="shape27"/>
        <xdr:cNvSpPr/>
      </xdr:nvSpPr>
      <xdr:spPr>
        <a:xfrm>
          <a:off x="8649335" y="5149215"/>
          <a:ext cx="2198370" cy="504190"/>
        </a:xfrm>
        <a:prstGeom prst="rect">
          <a:avLst/>
        </a:prstGeom>
        <a:solidFill>
          <a:srgbClr val="3265FF"/>
        </a:solidFill>
        <a:ln w="12700">
          <a:solidFill>
            <a:srgbClr val="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36576" tIns="18288" rIns="36576" bIns="18288" rtlCol="0" anchor="ctr"/>
        <a:lstStyle/>
        <a:p>
          <a:pPr algn="ctr"/>
          <a:r>
            <a:rPr lang="zh-CN" altLang="en-US" sz="1200" b="1" baseline="0">
              <a:solidFill>
                <a:srgbClr val="FFFFFF"/>
              </a:solidFill>
              <a:latin typeface="黑体" panose="02010609060101010101" charset="-122"/>
              <a:ea typeface="黑体" panose="02010609060101010101" charset="-122"/>
            </a:rPr>
            <a:t>3.2 V3.0开发与用户确认</a:t>
          </a:r>
          <a:endParaRPr lang="zh-CN" altLang="en-US" sz="1200" b="1" baseline="0">
            <a:solidFill>
              <a:srgbClr val="FFFFFF"/>
            </a:solidFill>
            <a:latin typeface="黑体" panose="02010609060101010101" charset="-122"/>
            <a:ea typeface="黑体" panose="02010609060101010101" charset="-122"/>
          </a:endParaRPr>
        </a:p>
      </xdr:txBody>
    </xdr:sp>
    <xdr:clientData/>
  </xdr:oneCellAnchor>
  <xdr:oneCellAnchor>
    <xdr:from>
      <xdr:col>16</xdr:col>
      <xdr:colOff>54428</xdr:colOff>
      <xdr:row>6</xdr:row>
      <xdr:rowOff>146756</xdr:rowOff>
    </xdr:from>
    <xdr:ext cx="1197374" cy="513525"/>
    <xdr:sp>
      <xdr:nvSpPr>
        <xdr:cNvPr id="57" name="shape28"/>
        <xdr:cNvSpPr/>
      </xdr:nvSpPr>
      <xdr:spPr>
        <a:xfrm>
          <a:off x="11014075" y="6122035"/>
          <a:ext cx="1197610" cy="513080"/>
        </a:xfrm>
        <a:prstGeom prst="rect">
          <a:avLst/>
        </a:prstGeom>
        <a:solidFill>
          <a:srgbClr val="CCFEFE"/>
        </a:solidFill>
        <a:ln w="12700">
          <a:solidFill>
            <a:srgbClr val="000000"/>
          </a:solidFill>
          <a:prstDash val="dash"/>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36576" tIns="18288" rIns="36576" bIns="18288" rtlCol="0" anchor="ctr"/>
        <a:lstStyle/>
        <a:p>
          <a:pPr algn="ctr"/>
          <a:r>
            <a:rPr lang="zh-CN" altLang="en-US" sz="1200" b="1" baseline="0">
              <a:solidFill>
                <a:srgbClr val="000000"/>
              </a:solidFill>
              <a:latin typeface="黑体" panose="02010609060101010101" charset="-122"/>
              <a:ea typeface="黑体" panose="02010609060101010101" charset="-122"/>
            </a:rPr>
            <a:t>3.3 用户集成测试</a:t>
          </a:r>
          <a:endParaRPr lang="zh-CN" altLang="en-US" sz="1200" b="1" baseline="0">
            <a:solidFill>
              <a:srgbClr val="000000"/>
            </a:solidFill>
            <a:latin typeface="黑体" panose="02010609060101010101" charset="-122"/>
            <a:ea typeface="黑体" panose="02010609060101010101" charset="-122"/>
          </a:endParaRPr>
        </a:p>
      </xdr:txBody>
    </xdr:sp>
    <xdr:clientData/>
  </xdr:oneCellAnchor>
  <xdr:oneCellAnchor>
    <xdr:from>
      <xdr:col>15</xdr:col>
      <xdr:colOff>564243</xdr:colOff>
      <xdr:row>5</xdr:row>
      <xdr:rowOff>1648640</xdr:rowOff>
    </xdr:from>
    <xdr:ext cx="163285" cy="974204"/>
    <xdr:cxnSp>
      <xdr:nvCxnSpPr>
        <xdr:cNvPr id="59" name="shape29"/>
        <xdr:cNvCxnSpPr>
          <a:stCxn id="56" idx="3"/>
          <a:endCxn id="57" idx="1"/>
        </xdr:cNvCxnSpPr>
      </xdr:nvCxnSpPr>
      <xdr:spPr>
        <a:xfrm>
          <a:off x="10850880" y="5401310"/>
          <a:ext cx="163195" cy="974090"/>
        </a:xfrm>
        <a:prstGeom prst="bentConnector3">
          <a:avLst>
            <a:gd name="adj1" fmla="val 50000"/>
          </a:avLst>
        </a:prstGeom>
        <a:noFill/>
        <a:ln w="12700">
          <a:solidFill>
            <a:srgbClr val="5A99D4"/>
          </a:solidFill>
        </a:ln>
      </xdr:spPr>
      <xdr:style>
        <a:lnRef idx="1">
          <a:schemeClr val="accent1"/>
        </a:lnRef>
        <a:fillRef idx="0">
          <a:schemeClr val="accent1"/>
        </a:fillRef>
        <a:effectRef idx="0">
          <a:schemeClr val="accent1"/>
        </a:effectRef>
        <a:fontRef idx="minor">
          <a:schemeClr val="tx1"/>
        </a:fontRef>
      </xdr:style>
    </xdr:cxnSp>
    <xdr:clientData/>
  </xdr:oneCellAnchor>
  <xdr:oneCellAnchor>
    <xdr:from>
      <xdr:col>22</xdr:col>
      <xdr:colOff>7259</xdr:colOff>
      <xdr:row>4</xdr:row>
      <xdr:rowOff>1789768</xdr:rowOff>
    </xdr:from>
    <xdr:ext cx="696232" cy="568575"/>
    <xdr:sp>
      <xdr:nvSpPr>
        <xdr:cNvPr id="64" name="shape30"/>
        <xdr:cNvSpPr/>
      </xdr:nvSpPr>
      <xdr:spPr>
        <a:xfrm>
          <a:off x="15005685" y="2951480"/>
          <a:ext cx="695960" cy="568325"/>
        </a:xfrm>
        <a:prstGeom prst="rect">
          <a:avLst/>
        </a:prstGeom>
        <a:solidFill>
          <a:srgbClr val="3265FF"/>
        </a:solidFill>
        <a:ln w="12700">
          <a:solidFill>
            <a:srgbClr val="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36576" tIns="18288" rIns="36576" bIns="18288" rtlCol="0" anchor="ctr"/>
        <a:lstStyle/>
        <a:p>
          <a:pPr algn="ctr"/>
          <a:r>
            <a:rPr lang="zh-CN" altLang="en-US" sz="1200" b="1" baseline="0">
              <a:solidFill>
                <a:srgbClr val="FFFFFF"/>
              </a:solidFill>
              <a:latin typeface="黑体" panose="02010609060101010101" charset="-122"/>
              <a:ea typeface="黑体" panose="02010609060101010101" charset="-122"/>
            </a:rPr>
            <a:t>4.4系统上线</a:t>
          </a:r>
          <a:endParaRPr lang="zh-CN" altLang="en-US" sz="1200" b="1" baseline="0">
            <a:solidFill>
              <a:srgbClr val="FFFFFF"/>
            </a:solidFill>
            <a:latin typeface="黑体" panose="02010609060101010101" charset="-122"/>
            <a:ea typeface="黑体" panose="02010609060101010101" charset="-122"/>
          </a:endParaRPr>
        </a:p>
      </xdr:txBody>
    </xdr:sp>
    <xdr:clientData/>
  </xdr:oneCellAnchor>
  <xdr:oneCellAnchor>
    <xdr:from>
      <xdr:col>19</xdr:col>
      <xdr:colOff>630011</xdr:colOff>
      <xdr:row>4</xdr:row>
      <xdr:rowOff>1054401</xdr:rowOff>
    </xdr:from>
    <xdr:ext cx="1419680" cy="552700"/>
    <xdr:sp>
      <xdr:nvSpPr>
        <xdr:cNvPr id="81" name="shape31"/>
        <xdr:cNvSpPr/>
      </xdr:nvSpPr>
      <xdr:spPr>
        <a:xfrm>
          <a:off x="13609320" y="2216150"/>
          <a:ext cx="1419225" cy="552450"/>
        </a:xfrm>
        <a:prstGeom prst="rect">
          <a:avLst/>
        </a:prstGeom>
        <a:solidFill>
          <a:srgbClr val="3265FF"/>
        </a:solidFill>
        <a:ln w="12700">
          <a:solidFill>
            <a:srgbClr val="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36576" tIns="18288" rIns="36576" bIns="18288" rtlCol="0" anchor="ctr"/>
        <a:lstStyle/>
        <a:p>
          <a:pPr algn="ctr"/>
          <a:r>
            <a:rPr lang="zh-CN" altLang="en-US" sz="1200" b="1" baseline="0">
              <a:solidFill>
                <a:srgbClr val="FFFFFF"/>
              </a:solidFill>
              <a:latin typeface="黑体" panose="02010609060101010101" charset="-122"/>
              <a:ea typeface="黑体" panose="02010609060101010101" charset="-122"/>
            </a:rPr>
            <a:t>4.3上线准备</a:t>
          </a:r>
          <a:endParaRPr lang="zh-CN" altLang="en-US" sz="1200" b="1" baseline="0">
            <a:solidFill>
              <a:srgbClr val="FFFFFF"/>
            </a:solidFill>
            <a:latin typeface="黑体" panose="02010609060101010101" charset="-122"/>
            <a:ea typeface="黑体" panose="02010609060101010101" charset="-122"/>
          </a:endParaRPr>
        </a:p>
      </xdr:txBody>
    </xdr:sp>
    <xdr:clientData/>
  </xdr:oneCellAnchor>
  <xdr:oneCellAnchor>
    <xdr:from>
      <xdr:col>25</xdr:col>
      <xdr:colOff>622753</xdr:colOff>
      <xdr:row>4</xdr:row>
      <xdr:rowOff>1843282</xdr:rowOff>
    </xdr:from>
    <xdr:ext cx="3355068" cy="533650"/>
    <xdr:sp>
      <xdr:nvSpPr>
        <xdr:cNvPr id="82" name="shape32"/>
        <xdr:cNvSpPr/>
      </xdr:nvSpPr>
      <xdr:spPr>
        <a:xfrm>
          <a:off x="17640300" y="3004820"/>
          <a:ext cx="3355340" cy="534035"/>
        </a:xfrm>
        <a:prstGeom prst="rect">
          <a:avLst/>
        </a:prstGeom>
        <a:solidFill>
          <a:srgbClr val="3265FF"/>
        </a:solidFill>
        <a:ln w="12700">
          <a:solidFill>
            <a:srgbClr val="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36576" tIns="18288" rIns="36576" bIns="18288" rtlCol="0" anchor="ctr"/>
        <a:lstStyle/>
        <a:p>
          <a:pPr algn="ctr"/>
          <a:r>
            <a:rPr lang="zh-CN" altLang="en-US" sz="1200" b="1" baseline="0">
              <a:solidFill>
                <a:srgbClr val="FFFFFF"/>
              </a:solidFill>
              <a:latin typeface="黑体" panose="02010609060101010101" charset="-122"/>
              <a:ea typeface="黑体" panose="02010609060101010101" charset="-122"/>
            </a:rPr>
            <a:t>5.2 项目收尾</a:t>
          </a:r>
          <a:endParaRPr lang="zh-CN" altLang="en-US" sz="1200" b="1" baseline="0">
            <a:solidFill>
              <a:srgbClr val="FFFFFF"/>
            </a:solidFill>
            <a:latin typeface="黑体" panose="02010609060101010101" charset="-122"/>
            <a:ea typeface="黑体" panose="02010609060101010101" charset="-122"/>
          </a:endParaRPr>
        </a:p>
      </xdr:txBody>
    </xdr:sp>
    <xdr:clientData/>
  </xdr:oneCellAnchor>
  <xdr:oneCellAnchor>
    <xdr:from>
      <xdr:col>15</xdr:col>
      <xdr:colOff>596348</xdr:colOff>
      <xdr:row>5</xdr:row>
      <xdr:rowOff>1460119</xdr:rowOff>
    </xdr:from>
    <xdr:ext cx="935641" cy="256930"/>
    <xdr:sp>
      <xdr:nvSpPr>
        <xdr:cNvPr id="83" name="shape33"/>
        <xdr:cNvSpPr/>
      </xdr:nvSpPr>
      <xdr:spPr>
        <a:xfrm>
          <a:off x="10883265" y="5212715"/>
          <a:ext cx="935355" cy="257175"/>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18288" tIns="18288" rIns="0" bIns="18288" rtlCol="0" anchor="ctr"/>
        <a:lstStyle/>
        <a:p>
          <a:pPr algn="l"/>
          <a:r>
            <a:rPr lang="zh-CN" altLang="en-US" sz="1000" baseline="0">
              <a:solidFill>
                <a:srgbClr val="000000"/>
              </a:solidFill>
              <a:latin typeface="微软雅黑" panose="020B0503020204020204" charset="-122"/>
              <a:ea typeface="微软雅黑" panose="020B0503020204020204" charset="-122"/>
            </a:rPr>
            <a:t>▲单元测试报告</a:t>
          </a:r>
          <a:endParaRPr lang="zh-CN" altLang="en-US" sz="1000" baseline="0">
            <a:solidFill>
              <a:srgbClr val="000000"/>
            </a:solidFill>
            <a:latin typeface="微软雅黑" panose="020B0503020204020204" charset="-122"/>
            <a:ea typeface="微软雅黑" panose="020B0503020204020204" charset="-122"/>
          </a:endParaRPr>
        </a:p>
      </xdr:txBody>
    </xdr:sp>
    <xdr:clientData/>
  </xdr:oneCellAnchor>
  <xdr:oneCellAnchor>
    <xdr:from>
      <xdr:col>13</xdr:col>
      <xdr:colOff>68844</xdr:colOff>
      <xdr:row>5</xdr:row>
      <xdr:rowOff>232302</xdr:rowOff>
    </xdr:from>
    <xdr:ext cx="935641" cy="256930"/>
    <xdr:sp>
      <xdr:nvSpPr>
        <xdr:cNvPr id="84" name="shape34"/>
        <xdr:cNvSpPr/>
      </xdr:nvSpPr>
      <xdr:spPr>
        <a:xfrm>
          <a:off x="9009380" y="3984625"/>
          <a:ext cx="935355" cy="257175"/>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18288" tIns="18288" rIns="0" bIns="18288" rtlCol="0" anchor="ctr"/>
        <a:lstStyle/>
        <a:p>
          <a:pPr algn="l"/>
          <a:r>
            <a:rPr lang="zh-CN" altLang="en-US" sz="1000" baseline="0">
              <a:solidFill>
                <a:srgbClr val="000000"/>
              </a:solidFill>
              <a:latin typeface="微软雅黑" panose="020B0503020204020204" charset="-122"/>
              <a:ea typeface="微软雅黑" panose="020B0503020204020204" charset="-122"/>
            </a:rPr>
            <a:t>▲单元测试报告</a:t>
          </a:r>
          <a:endParaRPr lang="zh-CN" altLang="en-US" sz="1000" baseline="0">
            <a:solidFill>
              <a:srgbClr val="000000"/>
            </a:solidFill>
            <a:latin typeface="微软雅黑" panose="020B0503020204020204" charset="-122"/>
            <a:ea typeface="微软雅黑" panose="020B0503020204020204" charset="-122"/>
          </a:endParaRPr>
        </a:p>
      </xdr:txBody>
    </xdr:sp>
    <xdr:clientData/>
  </xdr:oneCellAnchor>
  <xdr:oneCellAnchor>
    <xdr:from>
      <xdr:col>9</xdr:col>
      <xdr:colOff>0</xdr:colOff>
      <xdr:row>4</xdr:row>
      <xdr:rowOff>0</xdr:rowOff>
    </xdr:from>
    <xdr:ext cx="700088" cy="6511126"/>
    <xdr:sp>
      <xdr:nvSpPr>
        <xdr:cNvPr id="4" name="shape35"/>
        <xdr:cNvSpPr/>
      </xdr:nvSpPr>
      <xdr:spPr>
        <a:xfrm>
          <a:off x="6248400" y="1162050"/>
          <a:ext cx="699770" cy="6510655"/>
        </a:xfrm>
        <a:prstGeom prst="rect">
          <a:avLst/>
        </a:prstGeom>
        <a:solidFill>
          <a:srgbClr val="C0C0C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zh-CN" altLang="en-US" sz="1100" baseline="0">
              <a:latin typeface="等线 Light" panose="02010600030101010101" charset="-122"/>
            </a:rPr>
            <a:t>国庆节</a:t>
          </a:r>
          <a:endParaRPr lang="zh-CN" altLang="en-US" sz="1100" baseline="0">
            <a:latin typeface="等线 Light" panose="02010600030101010101" charset="-122"/>
          </a:endParaRPr>
        </a:p>
      </xdr:txBody>
    </xdr:sp>
    <xdr:clientData/>
  </xdr:oneCellAnchor>
  <xdr:oneCellAnchor>
    <xdr:from>
      <xdr:col>16</xdr:col>
      <xdr:colOff>259344</xdr:colOff>
      <xdr:row>6</xdr:row>
      <xdr:rowOff>722157</xdr:rowOff>
    </xdr:from>
    <xdr:ext cx="914802" cy="256930"/>
    <xdr:sp>
      <xdr:nvSpPr>
        <xdr:cNvPr id="86" name="shape36"/>
        <xdr:cNvSpPr/>
      </xdr:nvSpPr>
      <xdr:spPr>
        <a:xfrm>
          <a:off x="11219180" y="6697345"/>
          <a:ext cx="915035" cy="25654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18288" tIns="18288" rIns="0" bIns="18288" rtlCol="0" anchor="ctr"/>
        <a:lstStyle/>
        <a:p>
          <a:pPr algn="l"/>
          <a:r>
            <a:rPr lang="zh-CN" altLang="en-US" sz="1000" baseline="0">
              <a:solidFill>
                <a:srgbClr val="000000"/>
              </a:solidFill>
              <a:latin typeface="微软雅黑" panose="020B0503020204020204" charset="-122"/>
              <a:ea typeface="微软雅黑" panose="020B0503020204020204" charset="-122"/>
            </a:rPr>
            <a:t>▲集成测试报告</a:t>
          </a:r>
          <a:endParaRPr lang="zh-CN" altLang="en-US" sz="1000" baseline="0">
            <a:solidFill>
              <a:srgbClr val="000000"/>
            </a:solidFill>
            <a:latin typeface="微软雅黑" panose="020B0503020204020204" charset="-122"/>
            <a:ea typeface="微软雅黑" panose="020B0503020204020204" charset="-122"/>
          </a:endParaRPr>
        </a:p>
      </xdr:txBody>
    </xdr:sp>
    <xdr:clientData/>
  </xdr:oneCellAnchor>
  <xdr:oneCellAnchor>
    <xdr:from>
      <xdr:col>20</xdr:col>
      <xdr:colOff>259344</xdr:colOff>
      <xdr:row>6</xdr:row>
      <xdr:rowOff>762979</xdr:rowOff>
    </xdr:from>
    <xdr:ext cx="917752" cy="256930"/>
    <xdr:sp>
      <xdr:nvSpPr>
        <xdr:cNvPr id="87" name="shape37"/>
        <xdr:cNvSpPr/>
      </xdr:nvSpPr>
      <xdr:spPr>
        <a:xfrm>
          <a:off x="13911580" y="6737985"/>
          <a:ext cx="917575" cy="257175"/>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18288" tIns="18288" rIns="0" bIns="18288" rtlCol="0" anchor="ctr"/>
        <a:lstStyle/>
        <a:p>
          <a:pPr algn="l"/>
          <a:r>
            <a:rPr lang="zh-CN" altLang="en-US" sz="1000" baseline="0">
              <a:solidFill>
                <a:srgbClr val="000000"/>
              </a:solidFill>
              <a:latin typeface="微软雅黑" panose="020B0503020204020204" charset="-122"/>
              <a:ea typeface="微软雅黑" panose="020B0503020204020204" charset="-122"/>
            </a:rPr>
            <a:t>▲UAT测试报告</a:t>
          </a:r>
          <a:endParaRPr lang="zh-CN" altLang="en-US" sz="1000" baseline="0">
            <a:solidFill>
              <a:srgbClr val="000000"/>
            </a:solidFill>
            <a:latin typeface="微软雅黑" panose="020B0503020204020204" charset="-122"/>
            <a:ea typeface="微软雅黑" panose="020B0503020204020204" charset="-122"/>
          </a:endParaRPr>
        </a:p>
      </xdr:txBody>
    </xdr:sp>
    <xdr:clientData/>
  </xdr:oneCellAnchor>
  <xdr:oneCellAnchor>
    <xdr:from>
      <xdr:col>30</xdr:col>
      <xdr:colOff>610507</xdr:colOff>
      <xdr:row>3</xdr:row>
      <xdr:rowOff>532625</xdr:rowOff>
    </xdr:from>
    <xdr:ext cx="91028" cy="6424282"/>
    <xdr:sp>
      <xdr:nvSpPr>
        <xdr:cNvPr id="88" name="shape38"/>
        <xdr:cNvSpPr/>
      </xdr:nvSpPr>
      <xdr:spPr>
        <a:xfrm>
          <a:off x="20993735" y="1148080"/>
          <a:ext cx="90805" cy="6424295"/>
        </a:xfrm>
        <a:prstGeom prst="rect">
          <a:avLst/>
        </a:prstGeom>
        <a:solidFill>
          <a:srgbClr val="6FAD46"/>
        </a:solidFill>
        <a:ln w="12700">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p>
      </xdr:txBody>
    </xdr:sp>
    <xdr:clientData/>
  </xdr:oneCellAnchor>
  <xdr:oneCellAnchor>
    <xdr:from>
      <xdr:col>17</xdr:col>
      <xdr:colOff>648154</xdr:colOff>
      <xdr:row>4</xdr:row>
      <xdr:rowOff>50025</xdr:rowOff>
    </xdr:from>
    <xdr:ext cx="94203" cy="6431993"/>
    <xdr:sp>
      <xdr:nvSpPr>
        <xdr:cNvPr id="90" name="shape39"/>
        <xdr:cNvSpPr/>
      </xdr:nvSpPr>
      <xdr:spPr>
        <a:xfrm>
          <a:off x="12280900" y="1211580"/>
          <a:ext cx="94615" cy="6431915"/>
        </a:xfrm>
        <a:prstGeom prst="rect">
          <a:avLst/>
        </a:prstGeom>
        <a:solidFill>
          <a:srgbClr val="6FAD46"/>
        </a:solidFill>
        <a:ln w="12700">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p>
      </xdr:txBody>
    </xdr:sp>
    <xdr:clientData/>
  </xdr:oneCellAnchor>
  <xdr:oneCellAnchor>
    <xdr:from>
      <xdr:col>13</xdr:col>
      <xdr:colOff>170089</xdr:colOff>
      <xdr:row>4</xdr:row>
      <xdr:rowOff>13606</xdr:rowOff>
    </xdr:from>
    <xdr:ext cx="2563133" cy="1415143"/>
    <xdr:sp>
      <xdr:nvSpPr>
        <xdr:cNvPr id="3" name="shape40"/>
        <xdr:cNvSpPr/>
      </xdr:nvSpPr>
      <xdr:spPr>
        <a:xfrm>
          <a:off x="9110345" y="1175385"/>
          <a:ext cx="2563495" cy="1414780"/>
        </a:xfrm>
        <a:prstGeom prst="wedgeRectCallout">
          <a:avLst>
            <a:gd name="adj1" fmla="val -190709"/>
            <a:gd name="adj2" fmla="val 102500"/>
          </a:avLst>
        </a:prstGeom>
        <a:solidFill>
          <a:srgbClr val="FEE599"/>
        </a:solidFill>
        <a:ln w="25400">
          <a:solidFill>
            <a:srgbClr val="FFFFFF"/>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zh-CN" altLang="en-US" sz="1600" baseline="0">
              <a:solidFill>
                <a:srgbClr val="000000"/>
              </a:solidFill>
              <a:latin typeface="等线 Light" panose="02010600030101010101" charset="-122"/>
            </a:rPr>
            <a:t>1、根据项目主计划制定的里程碑时间结合项目角色手动绘制甘特图</a:t>
          </a:r>
          <a:endParaRPr lang="zh-CN" altLang="en-US" sz="1600" baseline="0">
            <a:solidFill>
              <a:srgbClr val="000000"/>
            </a:solidFill>
            <a:latin typeface="等线 Light" panose="02010600030101010101" charset="-122"/>
          </a:endParaRPr>
        </a:p>
      </xdr:txBody>
    </xdr:sp>
    <xdr:clientData/>
  </xdr:oneCellAnchor>
  <xdr:oneCellAnchor>
    <xdr:from>
      <xdr:col>11</xdr:col>
      <xdr:colOff>410936</xdr:colOff>
      <xdr:row>6</xdr:row>
      <xdr:rowOff>492577</xdr:rowOff>
    </xdr:from>
    <xdr:ext cx="2563132" cy="677636"/>
    <xdr:sp>
      <xdr:nvSpPr>
        <xdr:cNvPr id="5" name="shape41"/>
        <xdr:cNvSpPr/>
      </xdr:nvSpPr>
      <xdr:spPr>
        <a:xfrm>
          <a:off x="8005445" y="6467475"/>
          <a:ext cx="2562860" cy="677545"/>
        </a:xfrm>
        <a:prstGeom prst="wedgeRectCallout">
          <a:avLst>
            <a:gd name="adj1" fmla="val -136692"/>
            <a:gd name="adj2" fmla="val 184505"/>
          </a:avLst>
        </a:prstGeom>
        <a:solidFill>
          <a:srgbClr val="FEE599"/>
        </a:solidFill>
        <a:ln w="25400">
          <a:solidFill>
            <a:srgbClr val="FFFFFF"/>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zh-CN" altLang="en-US" sz="1600" baseline="0">
              <a:solidFill>
                <a:srgbClr val="000000"/>
              </a:solidFill>
              <a:latin typeface="等线 Light" panose="02010600030101010101" charset="-122"/>
            </a:rPr>
            <a:t>2、里程碑节点时间说明</a:t>
          </a:r>
          <a:endParaRPr lang="zh-CN" altLang="en-US" sz="1600" baseline="0">
            <a:solidFill>
              <a:srgbClr val="000000"/>
            </a:solidFill>
            <a:latin typeface="等线 Light" panose="02010600030101010101" charset="-122"/>
          </a:endParaRPr>
        </a:p>
      </xdr:txBody>
    </xdr:sp>
    <xdr:clientData/>
  </xdr:oneCellAnchor>
  <xdr:oneCellAnchor>
    <xdr:from>
      <xdr:col>27</xdr:col>
      <xdr:colOff>25855</xdr:colOff>
      <xdr:row>3</xdr:row>
      <xdr:rowOff>366031</xdr:rowOff>
    </xdr:from>
    <xdr:ext cx="1851023" cy="479426"/>
    <xdr:sp>
      <xdr:nvSpPr>
        <xdr:cNvPr id="9" name="shape42"/>
        <xdr:cNvSpPr/>
      </xdr:nvSpPr>
      <xdr:spPr>
        <a:xfrm>
          <a:off x="18389600" y="981710"/>
          <a:ext cx="1851025" cy="479425"/>
        </a:xfrm>
        <a:prstGeom prst="wedgeRectCallout">
          <a:avLst>
            <a:gd name="adj1" fmla="val 122974"/>
            <a:gd name="adj2" fmla="val -174000"/>
          </a:avLst>
        </a:prstGeom>
        <a:solidFill>
          <a:srgbClr val="FEE599"/>
        </a:solidFill>
        <a:ln w="25400">
          <a:solidFill>
            <a:srgbClr val="FFFFFF"/>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zh-CN" altLang="en-US" sz="1600" baseline="0">
              <a:solidFill>
                <a:srgbClr val="000000"/>
              </a:solidFill>
              <a:latin typeface="等线 Light" panose="02010600030101010101" charset="-122"/>
            </a:rPr>
            <a:t>3、图标示例</a:t>
          </a:r>
          <a:endParaRPr lang="zh-CN" altLang="en-US" sz="1600" baseline="0">
            <a:solidFill>
              <a:srgbClr val="000000"/>
            </a:solidFill>
            <a:latin typeface="等线 Light" panose="02010600030101010101" charset="-122"/>
          </a:endParaRPr>
        </a:p>
      </xdr:txBody>
    </xdr:sp>
    <xdr:clientData/>
  </xdr:oneCellAnchor>
  <xdr:oneCellAnchor>
    <xdr:from>
      <xdr:col>3</xdr:col>
      <xdr:colOff>8825</xdr:colOff>
      <xdr:row>4</xdr:row>
      <xdr:rowOff>122150</xdr:rowOff>
    </xdr:from>
    <xdr:ext cx="1405410" cy="507175"/>
    <xdr:sp>
      <xdr:nvSpPr>
        <xdr:cNvPr id="6" name="shape43"/>
        <xdr:cNvSpPr/>
      </xdr:nvSpPr>
      <xdr:spPr>
        <a:xfrm>
          <a:off x="2218055" y="1283970"/>
          <a:ext cx="1405890" cy="507365"/>
        </a:xfrm>
        <a:prstGeom prst="rect">
          <a:avLst/>
        </a:prstGeom>
        <a:solidFill>
          <a:srgbClr val="3265FF"/>
        </a:solidFill>
        <a:ln w="12700">
          <a:solidFill>
            <a:srgbClr val="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36576" tIns="18288" rIns="36576" bIns="18288" rtlCol="0" anchor="ctr"/>
        <a:lstStyle/>
        <a:p>
          <a:pPr algn="ctr"/>
          <a:r>
            <a:rPr lang="zh-CN" altLang="en-US" sz="1200" b="1" baseline="0">
              <a:solidFill>
                <a:srgbClr val="FFFFFF"/>
              </a:solidFill>
              <a:latin typeface="黑体" panose="02010609060101010101" charset="-122"/>
              <a:ea typeface="黑体" panose="02010609060101010101" charset="-122"/>
            </a:rPr>
            <a:t>2.1</a:t>
          </a:r>
          <a:endParaRPr lang="zh-CN" altLang="en-US" sz="1200" b="1" baseline="0">
            <a:solidFill>
              <a:srgbClr val="FFFFFF"/>
            </a:solidFill>
            <a:latin typeface="黑体" panose="02010609060101010101" charset="-122"/>
            <a:ea typeface="黑体" panose="02010609060101010101" charset="-122"/>
          </a:endParaRPr>
        </a:p>
        <a:p>
          <a:pPr algn="ctr"/>
          <a:r>
            <a:rPr lang="zh-CN" altLang="en-US" sz="1200" b="1" baseline="0">
              <a:solidFill>
                <a:srgbClr val="FFFFFF"/>
              </a:solidFill>
              <a:latin typeface="黑体" panose="02010609060101010101" charset="-122"/>
              <a:ea typeface="黑体" panose="02010609060101010101" charset="-122"/>
            </a:rPr>
            <a:t>业务调研与分析</a:t>
          </a:r>
          <a:endParaRPr lang="zh-CN" altLang="en-US" sz="1200" b="1" baseline="0">
            <a:solidFill>
              <a:srgbClr val="FFFFFF"/>
            </a:solidFill>
            <a:latin typeface="黑体" panose="02010609060101010101" charset="-122"/>
            <a:ea typeface="黑体" panose="02010609060101010101" charset="-122"/>
          </a:endParaRPr>
        </a:p>
      </xdr:txBody>
    </xdr:sp>
    <xdr:clientData/>
  </xdr:oneCellAnchor>
  <xdr:oneCellAnchor>
    <xdr:from>
      <xdr:col>8</xdr:col>
      <xdr:colOff>278494</xdr:colOff>
      <xdr:row>5</xdr:row>
      <xdr:rowOff>112823</xdr:rowOff>
    </xdr:from>
    <xdr:ext cx="3117397" cy="500825"/>
    <xdr:sp>
      <xdr:nvSpPr>
        <xdr:cNvPr id="7" name="shape44"/>
        <xdr:cNvSpPr/>
      </xdr:nvSpPr>
      <xdr:spPr>
        <a:xfrm>
          <a:off x="5853430" y="3865245"/>
          <a:ext cx="3117215" cy="501015"/>
        </a:xfrm>
        <a:prstGeom prst="rect">
          <a:avLst/>
        </a:prstGeom>
        <a:solidFill>
          <a:srgbClr val="3265FF"/>
        </a:solidFill>
        <a:ln w="12700">
          <a:solidFill>
            <a:srgbClr val="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36576" tIns="18288" rIns="36576" bIns="18288" rtlCol="0" anchor="ctr"/>
        <a:lstStyle/>
        <a:p>
          <a:pPr algn="ctr"/>
          <a:r>
            <a:rPr lang="zh-CN" altLang="en-US" sz="1200" b="1" baseline="0">
              <a:solidFill>
                <a:srgbClr val="FFFFFF"/>
              </a:solidFill>
              <a:latin typeface="黑体" panose="02010609060101010101" charset="-122"/>
              <a:ea typeface="黑体" panose="02010609060101010101" charset="-122"/>
            </a:rPr>
            <a:t>3.2 V1.0开发与用户确认</a:t>
          </a:r>
          <a:endParaRPr lang="zh-CN" altLang="en-US" sz="1200" b="1" baseline="0">
            <a:solidFill>
              <a:srgbClr val="FFFFFF"/>
            </a:solidFill>
            <a:latin typeface="黑体" panose="02010609060101010101" charset="-122"/>
            <a:ea typeface="黑体" panose="02010609060101010101" charset="-122"/>
          </a:endParaRPr>
        </a:p>
      </xdr:txBody>
    </xdr:sp>
    <xdr:clientData/>
  </xdr:oneCellAnchor>
  <xdr:oneCellAnchor>
    <xdr:from>
      <xdr:col>2</xdr:col>
      <xdr:colOff>28416</xdr:colOff>
      <xdr:row>3</xdr:row>
      <xdr:rowOff>40074</xdr:rowOff>
    </xdr:from>
    <xdr:ext cx="1080965" cy="219288"/>
    <xdr:sp>
      <xdr:nvSpPr>
        <xdr:cNvPr id="8" name="shape45"/>
        <xdr:cNvSpPr/>
      </xdr:nvSpPr>
      <xdr:spPr>
        <a:xfrm>
          <a:off x="1564640" y="655955"/>
          <a:ext cx="1081405" cy="219075"/>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27432" tIns="18288" rIns="27432" bIns="18288" rtlCol="0" anchor="ctr"/>
        <a:lstStyle/>
        <a:p>
          <a:pPr algn="ctr"/>
          <a:r>
            <a:rPr lang="zh-CN" altLang="en-US" sz="1000" b="1" baseline="0">
              <a:solidFill>
                <a:srgbClr val="4371C4"/>
              </a:solidFill>
              <a:latin typeface="微软雅黑" panose="020B0503020204020204" charset="-122"/>
              <a:ea typeface="微软雅黑" panose="020B0503020204020204" charset="-122"/>
            </a:rPr>
            <a:t>★启动会（8/16)</a:t>
          </a:r>
          <a:endParaRPr lang="zh-CN" altLang="en-US" sz="1000" b="1" baseline="0">
            <a:solidFill>
              <a:srgbClr val="4371C4"/>
            </a:solidFill>
            <a:latin typeface="微软雅黑" panose="020B0503020204020204" charset="-122"/>
            <a:ea typeface="微软雅黑" panose="020B0503020204020204" charset="-122"/>
          </a:endParaRPr>
        </a:p>
      </xdr:txBody>
    </xdr:sp>
    <xdr:clientData/>
  </xdr:oneCellAnchor>
  <xdr:oneCellAnchor>
    <xdr:from>
      <xdr:col>5</xdr:col>
      <xdr:colOff>120837</xdr:colOff>
      <xdr:row>4</xdr:row>
      <xdr:rowOff>268460</xdr:rowOff>
    </xdr:from>
    <xdr:ext cx="698717" cy="256930"/>
    <xdr:sp>
      <xdr:nvSpPr>
        <xdr:cNvPr id="11" name="shape46"/>
        <xdr:cNvSpPr/>
      </xdr:nvSpPr>
      <xdr:spPr>
        <a:xfrm>
          <a:off x="3676650" y="1430020"/>
          <a:ext cx="698500" cy="257175"/>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18288" tIns="18288" rIns="0" bIns="18288" rtlCol="0" anchor="ctr"/>
        <a:lstStyle/>
        <a:p>
          <a:pPr algn="l"/>
          <a:r>
            <a:rPr lang="zh-CN" altLang="en-US" sz="1000" baseline="0">
              <a:solidFill>
                <a:srgbClr val="000000"/>
              </a:solidFill>
              <a:latin typeface="微软雅黑" panose="020B0503020204020204" charset="-122"/>
              <a:ea typeface="微软雅黑" panose="020B0503020204020204" charset="-122"/>
            </a:rPr>
            <a:t>▲ 调研报告</a:t>
          </a:r>
          <a:endParaRPr lang="zh-CN" altLang="en-US" sz="1000" baseline="0">
            <a:solidFill>
              <a:srgbClr val="000000"/>
            </a:solidFill>
            <a:latin typeface="微软雅黑" panose="020B0503020204020204" charset="-122"/>
            <a:ea typeface="微软雅黑" panose="020B0503020204020204" charset="-122"/>
          </a:endParaRPr>
        </a:p>
      </xdr:txBody>
    </xdr:sp>
    <xdr:clientData/>
  </xdr:oneCellAnchor>
  <xdr:oneCellAnchor>
    <xdr:from>
      <xdr:col>6</xdr:col>
      <xdr:colOff>576868</xdr:colOff>
      <xdr:row>4</xdr:row>
      <xdr:rowOff>426924</xdr:rowOff>
    </xdr:from>
    <xdr:ext cx="955198" cy="256930"/>
    <xdr:sp>
      <xdr:nvSpPr>
        <xdr:cNvPr id="12" name="shape47"/>
        <xdr:cNvSpPr/>
      </xdr:nvSpPr>
      <xdr:spPr>
        <a:xfrm>
          <a:off x="4805680" y="1588770"/>
          <a:ext cx="955040" cy="25654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18288" tIns="18288" rIns="0" bIns="18288" rtlCol="0" anchor="ctr"/>
        <a:lstStyle/>
        <a:p>
          <a:pPr algn="l"/>
          <a:r>
            <a:rPr lang="zh-CN" altLang="en-US" sz="1000" baseline="0">
              <a:solidFill>
                <a:srgbClr val="000000"/>
              </a:solidFill>
              <a:latin typeface="微软雅黑" panose="020B0503020204020204" charset="-122"/>
              <a:ea typeface="微软雅黑" panose="020B0503020204020204" charset="-122"/>
            </a:rPr>
            <a:t>▲ 蓝图</a:t>
          </a:r>
          <a:r>
            <a:rPr lang="zh-CN" altLang="en-US" sz="1000" baseline="0">
              <a:latin typeface="微软雅黑" panose="020B0503020204020204" charset="-122"/>
              <a:ea typeface="微软雅黑" panose="020B0503020204020204" charset="-122"/>
            </a:rPr>
            <a:t>方案设计</a:t>
          </a:r>
          <a:endParaRPr lang="zh-CN" altLang="en-US" sz="1000" baseline="0">
            <a:latin typeface="微软雅黑" panose="020B0503020204020204" charset="-122"/>
            <a:ea typeface="微软雅黑" panose="020B0503020204020204" charset="-122"/>
          </a:endParaRPr>
        </a:p>
      </xdr:txBody>
    </xdr:sp>
    <xdr:clientData/>
  </xdr:oneCellAnchor>
</xdr:wsDr>
</file>

<file path=xl/drawings/drawing2.xml><?xml version="1.0" encoding="utf-8"?>
<xdr:wsDr xmlns:xdr="http://schemas.openxmlformats.org/drawingml/2006/spreadsheetDrawing" xmlns:r="http://schemas.openxmlformats.org/officeDocument/2006/relationships" xmlns:a="http://schemas.openxmlformats.org/drawingml/2006/main">
  <xdr:oneCellAnchor>
    <xdr:from>
      <xdr:col>3</xdr:col>
      <xdr:colOff>941294</xdr:colOff>
      <xdr:row>2</xdr:row>
      <xdr:rowOff>190499</xdr:rowOff>
    </xdr:from>
    <xdr:ext cx="2391844" cy="885265"/>
    <xdr:sp>
      <xdr:nvSpPr>
        <xdr:cNvPr id="2" name="shape48"/>
        <xdr:cNvSpPr/>
      </xdr:nvSpPr>
      <xdr:spPr>
        <a:xfrm>
          <a:off x="2769870" y="899795"/>
          <a:ext cx="2392045" cy="885825"/>
        </a:xfrm>
        <a:prstGeom prst="wedgeRectCallout">
          <a:avLst>
            <a:gd name="adj1" fmla="val 45503"/>
            <a:gd name="adj2" fmla="val -96587"/>
          </a:avLst>
        </a:prstGeom>
        <a:solidFill>
          <a:srgbClr val="FEE599"/>
        </a:solidFill>
        <a:ln w="25400">
          <a:solidFill>
            <a:srgbClr val="FFFFFF"/>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zh-CN" altLang="en-US" sz="1200" baseline="0">
              <a:solidFill>
                <a:srgbClr val="000000"/>
              </a:solidFill>
              <a:latin typeface="等线 Light" panose="02010600030101010101" charset="-122"/>
            </a:rPr>
            <a:t>1、主计划中【状态】不需要编辑，已通过公式从WBS中拉取</a:t>
          </a:r>
          <a:endParaRPr lang="zh-CN" altLang="en-US" sz="1200" baseline="0">
            <a:solidFill>
              <a:srgbClr val="000000"/>
            </a:solidFill>
            <a:latin typeface="等线 Light" panose="02010600030101010101" charset="-122"/>
          </a:endParaRPr>
        </a:p>
      </xdr:txBody>
    </xdr:sp>
    <xdr:clientData/>
  </xdr:oneCellAnchor>
  <xdr:oneCellAnchor>
    <xdr:from>
      <xdr:col>16</xdr:col>
      <xdr:colOff>246527</xdr:colOff>
      <xdr:row>7</xdr:row>
      <xdr:rowOff>158001</xdr:rowOff>
    </xdr:from>
    <xdr:ext cx="2958355" cy="1744757"/>
    <xdr:sp>
      <xdr:nvSpPr>
        <xdr:cNvPr id="5" name="shape49"/>
        <xdr:cNvSpPr/>
      </xdr:nvSpPr>
      <xdr:spPr>
        <a:xfrm>
          <a:off x="12171680" y="1915160"/>
          <a:ext cx="2958465" cy="1744980"/>
        </a:xfrm>
        <a:prstGeom prst="wedgeRectCallout">
          <a:avLst>
            <a:gd name="adj1" fmla="val -62122"/>
            <a:gd name="adj2" fmla="val -122569"/>
          </a:avLst>
        </a:prstGeom>
        <a:solidFill>
          <a:srgbClr val="FEE599"/>
        </a:solidFill>
        <a:ln w="25400">
          <a:solidFill>
            <a:srgbClr val="FFFFFF"/>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zh-CN" altLang="en-US" sz="1200" baseline="0">
              <a:solidFill>
                <a:srgbClr val="000000"/>
              </a:solidFill>
              <a:latin typeface="等线 Light" panose="02010600030101010101" charset="-122"/>
            </a:rPr>
            <a:t>3、若此列单元格下拉框选择“是”，则该行任务计划开始时间继承上一个任务的计划完成时间。</a:t>
          </a:r>
          <a:endParaRPr lang="zh-CN" altLang="en-US" sz="1200" baseline="0">
            <a:solidFill>
              <a:srgbClr val="000000"/>
            </a:solidFill>
            <a:latin typeface="等线 Light" panose="02010600030101010101" charset="-122"/>
          </a:endParaRPr>
        </a:p>
        <a:p>
          <a:pPr algn="l"/>
          <a:r>
            <a:rPr lang="zh-CN" altLang="en-US" sz="1200" b="1" baseline="0">
              <a:solidFill>
                <a:srgbClr val="FF0000"/>
              </a:solidFill>
              <a:latin typeface="等线 Light" panose="02010600030101010101" charset="-122"/>
            </a:rPr>
            <a:t>注：选择“是”的情况下,此行计划开始时间会自动改变，在删除“是”或者未选择情况下，计划开始时间内的公式需要删除。</a:t>
          </a:r>
          <a:endParaRPr lang="zh-CN" altLang="en-US" sz="1200" b="1" baseline="0">
            <a:solidFill>
              <a:srgbClr val="FF0000"/>
            </a:solidFill>
            <a:latin typeface="等线 Light" panose="02010600030101010101" charset="-122"/>
          </a:endParaRPr>
        </a:p>
      </xdr:txBody>
    </xdr:sp>
    <xdr:clientData/>
  </xdr:oneCellAnchor>
  <xdr:oneCellAnchor>
    <xdr:from>
      <xdr:col>14</xdr:col>
      <xdr:colOff>202825</xdr:colOff>
      <xdr:row>25</xdr:row>
      <xdr:rowOff>80681</xdr:rowOff>
    </xdr:from>
    <xdr:ext cx="2293233" cy="682439"/>
    <xdr:sp>
      <xdr:nvSpPr>
        <xdr:cNvPr id="6" name="shape50"/>
        <xdr:cNvSpPr/>
      </xdr:nvSpPr>
      <xdr:spPr>
        <a:xfrm>
          <a:off x="10426065" y="5610225"/>
          <a:ext cx="2292985" cy="681990"/>
        </a:xfrm>
        <a:prstGeom prst="wedgeRectCallout">
          <a:avLst>
            <a:gd name="adj1" fmla="val -57815"/>
            <a:gd name="adj2" fmla="val -180240"/>
          </a:avLst>
        </a:prstGeom>
        <a:solidFill>
          <a:srgbClr val="FEE599"/>
        </a:solidFill>
        <a:ln w="25400">
          <a:solidFill>
            <a:srgbClr val="FFFFFF"/>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zh-CN" altLang="en-US" sz="1200" baseline="0">
              <a:solidFill>
                <a:srgbClr val="000000"/>
              </a:solidFill>
              <a:latin typeface="等线 Light" panose="02010600030101010101" charset="-122"/>
            </a:rPr>
            <a:t>4、乱码没有关系，按照以上说明编辑乱码即可生成日期</a:t>
          </a:r>
          <a:endParaRPr lang="zh-CN" altLang="en-US" sz="1200" baseline="0">
            <a:solidFill>
              <a:srgbClr val="000000"/>
            </a:solidFill>
            <a:latin typeface="等线 Light" panose="02010600030101010101" charset="-122"/>
          </a:endParaRPr>
        </a:p>
      </xdr:txBody>
    </xdr:sp>
    <xdr:clientData/>
  </xdr:oneCellAnchor>
  <xdr:oneCellAnchor>
    <xdr:from>
      <xdr:col>1</xdr:col>
      <xdr:colOff>537882</xdr:colOff>
      <xdr:row>12</xdr:row>
      <xdr:rowOff>187511</xdr:rowOff>
    </xdr:from>
    <xdr:ext cx="3493434" cy="2204755"/>
    <xdr:sp>
      <xdr:nvSpPr>
        <xdr:cNvPr id="3" name="shape51"/>
        <xdr:cNvSpPr/>
      </xdr:nvSpPr>
      <xdr:spPr>
        <a:xfrm>
          <a:off x="1147445" y="2992755"/>
          <a:ext cx="3493135" cy="2204720"/>
        </a:xfrm>
        <a:prstGeom prst="wedgeRectCallout">
          <a:avLst>
            <a:gd name="adj1" fmla="val 23450"/>
            <a:gd name="adj2" fmla="val -50496"/>
          </a:avLst>
        </a:prstGeom>
        <a:solidFill>
          <a:srgbClr val="F5C028"/>
        </a:solidFill>
        <a:ln w="25400">
          <a:solidFill>
            <a:srgbClr val="FFFFFF"/>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zh-CN" altLang="en-US" sz="1200" b="1" baseline="0">
              <a:solidFill>
                <a:srgbClr val="000000"/>
              </a:solidFill>
              <a:latin typeface="等线 Light" panose="02010600030101010101" charset="-122"/>
            </a:rPr>
            <a:t>主计划说明：</a:t>
          </a:r>
          <a:endParaRPr lang="zh-CN" altLang="en-US" sz="1200" b="1" baseline="0">
            <a:solidFill>
              <a:srgbClr val="000000"/>
            </a:solidFill>
            <a:latin typeface="等线 Light" panose="02010600030101010101" charset="-122"/>
          </a:endParaRPr>
        </a:p>
        <a:p>
          <a:pPr algn="l"/>
          <a:r>
            <a:rPr lang="zh-CN" altLang="en-US" sz="1200" b="1" baseline="0">
              <a:solidFill>
                <a:srgbClr val="000000"/>
              </a:solidFill>
              <a:latin typeface="等线 Light" panose="02010600030101010101" charset="-122"/>
            </a:rPr>
            <a:t>1、项目主计划中，里程碑节点必须包括：蓝图设计签字、UAT功能交付确认、签署上线确认单、签署验收确认单。若项目存在特殊情况，在项目计划评审时，项目经理可说明情况且评审制定符合项目实际情况的里程碑节点。</a:t>
          </a:r>
          <a:endParaRPr lang="zh-CN" altLang="en-US" sz="1200" b="1" baseline="0">
            <a:solidFill>
              <a:srgbClr val="000000"/>
            </a:solidFill>
            <a:latin typeface="等线 Light" panose="02010600030101010101" charset="-122"/>
          </a:endParaRPr>
        </a:p>
        <a:p>
          <a:pPr algn="l"/>
          <a:r>
            <a:rPr lang="zh-CN" altLang="en-US" sz="1200" b="1" baseline="0">
              <a:solidFill>
                <a:srgbClr val="000000"/>
              </a:solidFill>
              <a:latin typeface="等线 Light" panose="02010600030101010101" charset="-122"/>
            </a:rPr>
            <a:t>2、项目主计划可根据项目实际情况进行裁剪。</a:t>
          </a:r>
          <a:endParaRPr lang="zh-CN" altLang="en-US" sz="1200" b="1" baseline="0">
            <a:solidFill>
              <a:srgbClr val="000000"/>
            </a:solidFill>
            <a:latin typeface="等线 Light" panose="02010600030101010101" charset="-122"/>
          </a:endParaRPr>
        </a:p>
        <a:p>
          <a:pPr algn="l"/>
          <a:r>
            <a:rPr lang="zh-CN" altLang="en-US" sz="1200" b="1" baseline="0">
              <a:solidFill>
                <a:srgbClr val="000000"/>
              </a:solidFill>
              <a:latin typeface="等线 Light" panose="02010600030101010101" charset="-122"/>
            </a:rPr>
            <a:t>3、项目主计划中的阶段应与项目预算中阶段相符，项目主计划与预算可共同评审。</a:t>
          </a:r>
          <a:endParaRPr lang="zh-CN" altLang="en-US" sz="1200" b="1" baseline="0">
            <a:solidFill>
              <a:srgbClr val="000000"/>
            </a:solidFill>
            <a:latin typeface="等线 Light" panose="02010600030101010101" charset="-122"/>
          </a:endParaRPr>
        </a:p>
      </xdr:txBody>
    </xdr:sp>
    <xdr:clientData/>
  </xdr:oneCellAnchor>
  <xdr:oneCellAnchor>
    <xdr:from>
      <xdr:col>7</xdr:col>
      <xdr:colOff>344953</xdr:colOff>
      <xdr:row>5</xdr:row>
      <xdr:rowOff>45942</xdr:rowOff>
    </xdr:from>
    <xdr:ext cx="2821403" cy="881157"/>
    <xdr:sp>
      <xdr:nvSpPr>
        <xdr:cNvPr id="4" name="shape52"/>
        <xdr:cNvSpPr/>
      </xdr:nvSpPr>
      <xdr:spPr>
        <a:xfrm>
          <a:off x="5996305" y="1384300"/>
          <a:ext cx="2821305" cy="880745"/>
        </a:xfrm>
        <a:prstGeom prst="wedgeRectCallout">
          <a:avLst>
            <a:gd name="adj1" fmla="val 68692"/>
            <a:gd name="adj2" fmla="val -140336"/>
          </a:avLst>
        </a:prstGeom>
        <a:solidFill>
          <a:srgbClr val="FEE599"/>
        </a:solidFill>
        <a:ln w="25400">
          <a:solidFill>
            <a:srgbClr val="FFFFFF"/>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zh-CN" altLang="en-US" sz="1200" baseline="0">
              <a:solidFill>
                <a:srgbClr val="000000"/>
              </a:solidFill>
              <a:latin typeface="等线 Light" panose="02010600030101010101" charset="-122"/>
            </a:rPr>
            <a:t>2、计划时间制定时，填写计划开始时间和工作日计划天数即可输出计划结束时间</a:t>
          </a:r>
          <a:endParaRPr lang="zh-CN" altLang="en-US" sz="1200" baseline="0">
            <a:solidFill>
              <a:srgbClr val="000000"/>
            </a:solidFill>
            <a:latin typeface="等线 Light" panose="02010600030101010101" charset="-122"/>
          </a:endParaRPr>
        </a:p>
      </xdr:txBody>
    </xdr:sp>
    <xdr:clientData/>
  </xdr:oneCellAnchor>
</xdr:wsDr>
</file>

<file path=xl/drawings/drawing3.xml><?xml version="1.0" encoding="utf-8"?>
<xdr:wsDr xmlns:xdr="http://schemas.openxmlformats.org/drawingml/2006/spreadsheetDrawing" xmlns:r="http://schemas.openxmlformats.org/officeDocument/2006/relationships" xmlns:a="http://schemas.openxmlformats.org/drawingml/2006/main">
  <xdr:oneCellAnchor>
    <xdr:from>
      <xdr:col>4</xdr:col>
      <xdr:colOff>384176</xdr:colOff>
      <xdr:row>6</xdr:row>
      <xdr:rowOff>105682</xdr:rowOff>
    </xdr:from>
    <xdr:ext cx="2331972" cy="1129847"/>
    <xdr:sp>
      <xdr:nvSpPr>
        <xdr:cNvPr id="2" name="shape53"/>
        <xdr:cNvSpPr/>
      </xdr:nvSpPr>
      <xdr:spPr>
        <a:xfrm>
          <a:off x="4791075" y="1410970"/>
          <a:ext cx="2331720" cy="1129665"/>
        </a:xfrm>
        <a:prstGeom prst="wedgeRectCallout">
          <a:avLst>
            <a:gd name="adj1" fmla="val 50257"/>
            <a:gd name="adj2" fmla="val -141821"/>
          </a:avLst>
        </a:prstGeom>
        <a:solidFill>
          <a:srgbClr val="FEE599"/>
        </a:solidFill>
        <a:ln w="25400">
          <a:solidFill>
            <a:srgbClr val="FFFFFF"/>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zh-CN" altLang="en-US" sz="1200" baseline="0">
              <a:solidFill>
                <a:srgbClr val="000000"/>
              </a:solidFill>
              <a:latin typeface="等线 Light" panose="02010600030101010101" charset="-122"/>
            </a:rPr>
            <a:t>1、与主计划相同，每个阶段的WBS中，计划时间制定时，填写计划开始时间和工作日计划天数即可输出计划结束时间</a:t>
          </a:r>
          <a:endParaRPr lang="zh-CN" altLang="en-US" sz="1200" baseline="0">
            <a:solidFill>
              <a:srgbClr val="000000"/>
            </a:solidFill>
            <a:latin typeface="等线 Light" panose="02010600030101010101" charset="-122"/>
          </a:endParaRPr>
        </a:p>
      </xdr:txBody>
    </xdr:sp>
    <xdr:clientData/>
  </xdr:oneCellAnchor>
  <xdr:oneCellAnchor>
    <xdr:from>
      <xdr:col>11</xdr:col>
      <xdr:colOff>61230</xdr:colOff>
      <xdr:row>5</xdr:row>
      <xdr:rowOff>68035</xdr:rowOff>
    </xdr:from>
    <xdr:ext cx="1831070" cy="348797"/>
    <xdr:sp>
      <xdr:nvSpPr>
        <xdr:cNvPr id="3" name="shape54"/>
        <xdr:cNvSpPr/>
      </xdr:nvSpPr>
      <xdr:spPr>
        <a:xfrm>
          <a:off x="9382760" y="1195705"/>
          <a:ext cx="1831340" cy="348615"/>
        </a:xfrm>
        <a:prstGeom prst="wedgeRectCallout">
          <a:avLst>
            <a:gd name="adj1" fmla="val 8264"/>
            <a:gd name="adj2" fmla="val -295902"/>
          </a:avLst>
        </a:prstGeom>
        <a:solidFill>
          <a:srgbClr val="FEE599"/>
        </a:solidFill>
        <a:ln w="25400">
          <a:solidFill>
            <a:srgbClr val="FFFFFF"/>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zh-CN" altLang="en-US" sz="1200" baseline="0">
              <a:solidFill>
                <a:srgbClr val="000000"/>
              </a:solidFill>
              <a:latin typeface="等线 Light" panose="02010600030101010101" charset="-122"/>
            </a:rPr>
            <a:t>2、此列用法同主计划</a:t>
          </a:r>
          <a:endParaRPr lang="zh-CN" altLang="en-US" sz="1200" baseline="0">
            <a:solidFill>
              <a:srgbClr val="000000"/>
            </a:solidFill>
            <a:latin typeface="等线 Light" panose="02010600030101010101" charset="-122"/>
          </a:endParaRPr>
        </a:p>
      </xdr:txBody>
    </xdr:sp>
    <xdr:clientData/>
  </xdr:oneCellAnchor>
  <xdr:oneCellAnchor>
    <xdr:from>
      <xdr:col>14</xdr:col>
      <xdr:colOff>789215</xdr:colOff>
      <xdr:row>5</xdr:row>
      <xdr:rowOff>29936</xdr:rowOff>
    </xdr:from>
    <xdr:ext cx="2454275" cy="1346199"/>
    <xdr:sp>
      <xdr:nvSpPr>
        <xdr:cNvPr id="4" name="shape55"/>
        <xdr:cNvSpPr/>
      </xdr:nvSpPr>
      <xdr:spPr>
        <a:xfrm>
          <a:off x="12726670" y="1157605"/>
          <a:ext cx="2454275" cy="1346200"/>
        </a:xfrm>
        <a:prstGeom prst="wedgeRectCallout">
          <a:avLst>
            <a:gd name="adj1" fmla="val -90014"/>
            <a:gd name="adj2" fmla="val -120397"/>
          </a:avLst>
        </a:prstGeom>
        <a:solidFill>
          <a:srgbClr val="FEE599"/>
        </a:solidFill>
        <a:ln w="25400">
          <a:solidFill>
            <a:srgbClr val="FFFFFF"/>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zh-CN" altLang="en-US" sz="1200" baseline="0">
              <a:solidFill>
                <a:srgbClr val="000000"/>
              </a:solidFill>
              <a:latin typeface="等线 Light" panose="02010600030101010101" charset="-122"/>
            </a:rPr>
            <a:t>3、二级任务实际开始时间和实际完成时间可通过编辑三四级任务完成时间识别出。</a:t>
          </a:r>
          <a:endParaRPr lang="zh-CN" altLang="en-US" sz="1200" baseline="0">
            <a:solidFill>
              <a:srgbClr val="000000"/>
            </a:solidFill>
            <a:latin typeface="等线 Light" panose="02010600030101010101" charset="-122"/>
          </a:endParaRPr>
        </a:p>
        <a:p>
          <a:pPr algn="l"/>
          <a:r>
            <a:rPr lang="zh-CN" altLang="en-US" sz="1200" baseline="0">
              <a:solidFill>
                <a:srgbClr val="000000"/>
              </a:solidFill>
              <a:latin typeface="等线 Light" panose="02010600030101010101" charset="-122"/>
            </a:rPr>
            <a:t>4、四级任务手动编辑实际开始时间和实际完成时间自动计算出实际工作天数</a:t>
          </a:r>
          <a:endParaRPr lang="zh-CN" altLang="en-US" sz="1200" baseline="0">
            <a:solidFill>
              <a:srgbClr val="000000"/>
            </a:solidFill>
            <a:latin typeface="等线 Light" panose="02010600030101010101" charset="-122"/>
          </a:endParaRPr>
        </a:p>
      </xdr:txBody>
    </xdr:sp>
    <xdr:clientData/>
  </xdr:oneCellAnchor>
  <xdr:oneCellAnchor>
    <xdr:from>
      <xdr:col>19</xdr:col>
      <xdr:colOff>342899</xdr:colOff>
      <xdr:row>4</xdr:row>
      <xdr:rowOff>16327</xdr:rowOff>
    </xdr:from>
    <xdr:ext cx="3094719" cy="742497"/>
    <xdr:sp>
      <xdr:nvSpPr>
        <xdr:cNvPr id="5" name="shape56"/>
        <xdr:cNvSpPr/>
      </xdr:nvSpPr>
      <xdr:spPr>
        <a:xfrm>
          <a:off x="16458565" y="965835"/>
          <a:ext cx="3094990" cy="742315"/>
        </a:xfrm>
        <a:prstGeom prst="wedgeRectCallout">
          <a:avLst>
            <a:gd name="adj1" fmla="val -63360"/>
            <a:gd name="adj2" fmla="val -118460"/>
          </a:avLst>
        </a:prstGeom>
        <a:solidFill>
          <a:srgbClr val="FEE599"/>
        </a:solidFill>
        <a:ln w="25400">
          <a:solidFill>
            <a:srgbClr val="FFFFFF"/>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zh-CN" altLang="en-US" sz="1200" baseline="0">
              <a:solidFill>
                <a:srgbClr val="000000"/>
              </a:solidFill>
              <a:latin typeface="等线 Light" panose="02010600030101010101" charset="-122"/>
            </a:rPr>
            <a:t>5、通过四级任务【状态】下拉框，选择状态为“未完成”、“进行中”和“已完成”，主计划中的任务状态会自动更新。</a:t>
          </a:r>
          <a:endParaRPr lang="zh-CN" altLang="en-US" sz="1200" baseline="0">
            <a:solidFill>
              <a:srgbClr val="000000"/>
            </a:solidFill>
            <a:latin typeface="等线 Light" panose="02010600030101010101" charset="-122"/>
          </a:endParaRPr>
        </a:p>
      </xdr:txBody>
    </xdr:sp>
    <xdr:clientData/>
  </xdr:oneCellAnchor>
  <xdr:oneCellAnchor>
    <xdr:from>
      <xdr:col>14</xdr:col>
      <xdr:colOff>689880</xdr:colOff>
      <xdr:row>23</xdr:row>
      <xdr:rowOff>159202</xdr:rowOff>
    </xdr:from>
    <xdr:ext cx="2267858" cy="521609"/>
    <xdr:sp>
      <xdr:nvSpPr>
        <xdr:cNvPr id="6" name="shape57"/>
        <xdr:cNvSpPr/>
      </xdr:nvSpPr>
      <xdr:spPr>
        <a:xfrm>
          <a:off x="12627610" y="4836160"/>
          <a:ext cx="2267585" cy="521970"/>
        </a:xfrm>
        <a:prstGeom prst="wedgeRectCallout">
          <a:avLst>
            <a:gd name="adj1" fmla="val -71901"/>
            <a:gd name="adj2" fmla="val -162810"/>
          </a:avLst>
        </a:prstGeom>
        <a:solidFill>
          <a:srgbClr val="FEE599"/>
        </a:solidFill>
        <a:ln w="25400">
          <a:solidFill>
            <a:srgbClr val="FFFFFF"/>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zh-CN" altLang="en-US" sz="1200" baseline="0">
              <a:solidFill>
                <a:srgbClr val="000000"/>
              </a:solidFill>
              <a:latin typeface="等线 Light" panose="02010600030101010101" charset="-122"/>
            </a:rPr>
            <a:t>6、</a:t>
          </a:r>
          <a:r>
            <a:rPr lang="zh-CN" altLang="en-US" sz="1100" baseline="0">
              <a:solidFill>
                <a:srgbClr val="000000"/>
              </a:solidFill>
              <a:latin typeface="+mn-lt"/>
              <a:ea typeface="+mn-ea"/>
            </a:rPr>
            <a:t>乱码没有关系，按照以上说明编辑乱码即可生成日期</a:t>
          </a:r>
          <a:endParaRPr lang="zh-CN" altLang="en-US" sz="1100" baseline="0">
            <a:solidFill>
              <a:srgbClr val="000000"/>
            </a:solidFill>
            <a:latin typeface="+mn-lt"/>
            <a:ea typeface="+mn-ea"/>
          </a:endParaRPr>
        </a:p>
      </xdr:txBody>
    </xdr:sp>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2:AE15"/>
  <sheetViews>
    <sheetView showGridLines="0" tabSelected="1" workbookViewId="0">
      <selection activeCell="A1" sqref="A1"/>
    </sheetView>
  </sheetViews>
  <sheetFormatPr defaultColWidth="8.83333333333333" defaultRowHeight="14" customHeight="1"/>
  <cols>
    <col min="1" max="1" width="11.3333333333333" style="1" customWidth="1"/>
  </cols>
  <sheetData>
    <row r="2" s="85" customFormat="1" ht="18" customHeight="1" spans="1:31">
      <c r="A2" s="86" t="s">
        <v>0</v>
      </c>
      <c r="B2" s="87">
        <v>45139</v>
      </c>
      <c r="C2" s="88"/>
      <c r="D2" s="88"/>
      <c r="E2" s="89"/>
      <c r="F2" s="87">
        <v>45170</v>
      </c>
      <c r="G2" s="88"/>
      <c r="H2" s="88"/>
      <c r="I2" s="90"/>
      <c r="J2" s="87">
        <v>45200</v>
      </c>
      <c r="K2" s="88"/>
      <c r="L2" s="88"/>
      <c r="M2" s="90"/>
      <c r="N2" s="89"/>
      <c r="O2" s="87">
        <v>45231</v>
      </c>
      <c r="P2" s="88"/>
      <c r="Q2" s="88"/>
      <c r="R2" s="89"/>
      <c r="S2" s="87">
        <v>45261</v>
      </c>
      <c r="T2" s="88"/>
      <c r="U2" s="88"/>
      <c r="V2" s="89"/>
      <c r="W2" s="87">
        <v>45292</v>
      </c>
      <c r="X2" s="88"/>
      <c r="Y2" s="88"/>
      <c r="Z2" s="90"/>
      <c r="AA2" s="89"/>
      <c r="AB2" s="87">
        <v>45323</v>
      </c>
      <c r="AC2" s="88"/>
      <c r="AD2" s="88"/>
      <c r="AE2" s="89"/>
    </row>
    <row r="3" s="85" customFormat="1" ht="16.5" customHeight="1" spans="1:31">
      <c r="A3" s="91"/>
      <c r="B3" s="92">
        <v>7</v>
      </c>
      <c r="C3" s="93">
        <f>B3+7</f>
        <v>14</v>
      </c>
      <c r="D3" s="93">
        <f>C3+7</f>
        <v>21</v>
      </c>
      <c r="E3" s="94">
        <f>D3+7</f>
        <v>28</v>
      </c>
      <c r="F3" s="92">
        <v>4</v>
      </c>
      <c r="G3" s="93">
        <f>F3+7</f>
        <v>11</v>
      </c>
      <c r="H3" s="93">
        <f>G3+7</f>
        <v>18</v>
      </c>
      <c r="I3" s="93">
        <f>H3+7</f>
        <v>25</v>
      </c>
      <c r="J3" s="92">
        <v>2</v>
      </c>
      <c r="K3" s="93">
        <f>J3+7</f>
        <v>9</v>
      </c>
      <c r="L3" s="93">
        <f>K3+7</f>
        <v>16</v>
      </c>
      <c r="M3" s="93">
        <f>L3+7</f>
        <v>23</v>
      </c>
      <c r="N3" s="93">
        <f>M3+7</f>
        <v>30</v>
      </c>
      <c r="O3" s="92">
        <v>6</v>
      </c>
      <c r="P3" s="93">
        <f>O3+7</f>
        <v>13</v>
      </c>
      <c r="Q3" s="93">
        <f>P3+7</f>
        <v>20</v>
      </c>
      <c r="R3" s="95">
        <f>Q3+7</f>
        <v>27</v>
      </c>
      <c r="S3" s="92">
        <v>4</v>
      </c>
      <c r="T3" s="93">
        <f>S3+7</f>
        <v>11</v>
      </c>
      <c r="U3" s="93">
        <f>T3+7</f>
        <v>18</v>
      </c>
      <c r="V3" s="94">
        <f>U3+7</f>
        <v>25</v>
      </c>
      <c r="W3" s="94">
        <v>1</v>
      </c>
      <c r="X3" s="93">
        <f>W3+7</f>
        <v>8</v>
      </c>
      <c r="Y3" s="93">
        <f>X3+7</f>
        <v>15</v>
      </c>
      <c r="Z3" s="94">
        <f>Y3+7</f>
        <v>22</v>
      </c>
      <c r="AA3" s="94">
        <f>Z3+7</f>
        <v>29</v>
      </c>
      <c r="AB3" s="94">
        <v>5</v>
      </c>
      <c r="AC3" s="93">
        <f>AB3+7</f>
        <v>12</v>
      </c>
      <c r="AD3" s="93">
        <f>AC3+7</f>
        <v>19</v>
      </c>
      <c r="AE3" s="94">
        <f>AD3+7</f>
        <v>26</v>
      </c>
    </row>
    <row r="4" s="85" customFormat="1" ht="43" customHeight="1" spans="1:31">
      <c r="A4" s="96"/>
      <c r="B4" s="97"/>
      <c r="C4" s="97"/>
      <c r="D4" s="97"/>
      <c r="E4" s="97"/>
      <c r="F4" s="97"/>
      <c r="G4" s="97"/>
      <c r="H4" s="97"/>
      <c r="I4" s="97"/>
      <c r="J4" s="97"/>
      <c r="K4" s="97"/>
      <c r="L4" s="97"/>
      <c r="M4" s="97"/>
      <c r="N4" s="97"/>
      <c r="O4" s="97"/>
      <c r="P4" s="97"/>
      <c r="Q4" s="97"/>
      <c r="R4" s="97"/>
      <c r="S4" s="97"/>
      <c r="T4" s="97"/>
      <c r="U4" s="97"/>
      <c r="V4" s="97"/>
      <c r="W4" s="97"/>
      <c r="X4" s="97"/>
      <c r="Y4" s="97"/>
      <c r="Z4" s="97"/>
      <c r="AA4" s="97"/>
      <c r="AB4" s="97"/>
      <c r="AC4" s="97"/>
      <c r="AD4" s="97"/>
      <c r="AE4" s="97"/>
    </row>
    <row r="5" s="85" customFormat="1" ht="204" customHeight="1" spans="1:31">
      <c r="A5" s="98" t="s">
        <v>1</v>
      </c>
      <c r="B5" s="99"/>
      <c r="C5" s="100"/>
      <c r="D5" s="99"/>
      <c r="E5" s="99"/>
      <c r="F5" s="99"/>
      <c r="G5" s="99"/>
      <c r="H5" s="99"/>
      <c r="I5" s="99"/>
      <c r="J5" s="100"/>
      <c r="K5" s="99"/>
      <c r="L5" s="99"/>
      <c r="M5" s="99"/>
      <c r="N5" s="99"/>
      <c r="O5" s="99"/>
      <c r="P5" s="99"/>
      <c r="Q5" s="99"/>
      <c r="R5" s="100"/>
      <c r="S5" s="100"/>
      <c r="T5" s="100"/>
      <c r="U5" s="100"/>
      <c r="V5" s="99"/>
      <c r="W5" s="100"/>
      <c r="X5" s="100"/>
      <c r="Y5" s="100"/>
      <c r="Z5" s="99"/>
      <c r="AA5" s="99"/>
      <c r="AB5" s="100"/>
      <c r="AC5" s="100"/>
      <c r="AD5" s="100"/>
      <c r="AE5" s="99"/>
    </row>
    <row r="6" s="85" customFormat="1" ht="175" customHeight="1" spans="1:31">
      <c r="A6" s="101" t="s">
        <v>2</v>
      </c>
      <c r="B6" s="102"/>
      <c r="C6" s="103"/>
      <c r="D6" s="102"/>
      <c r="E6" s="102"/>
      <c r="F6" s="102"/>
      <c r="G6" s="102"/>
      <c r="H6" s="102"/>
      <c r="I6" s="102"/>
      <c r="J6" s="102"/>
      <c r="K6" s="102"/>
      <c r="L6" s="103"/>
      <c r="M6" s="103"/>
      <c r="N6" s="103"/>
      <c r="O6" s="103"/>
      <c r="P6" s="103"/>
      <c r="Q6" s="103"/>
      <c r="R6" s="103"/>
      <c r="S6" s="103"/>
      <c r="T6" s="103"/>
      <c r="U6" s="103"/>
      <c r="V6" s="102"/>
      <c r="W6" s="103"/>
      <c r="X6" s="103"/>
      <c r="Y6" s="103"/>
      <c r="Z6" s="102"/>
      <c r="AA6" s="102"/>
      <c r="AB6" s="103"/>
      <c r="AC6" s="103"/>
      <c r="AD6" s="103"/>
      <c r="AE6" s="102"/>
    </row>
    <row r="7" s="85" customFormat="1" ht="134.25" customHeight="1" spans="1:31">
      <c r="A7" s="104" t="s">
        <v>3</v>
      </c>
      <c r="B7" s="105"/>
      <c r="C7" s="106"/>
      <c r="D7" s="105"/>
      <c r="E7" s="105"/>
      <c r="F7" s="105"/>
      <c r="G7" s="105"/>
      <c r="H7" s="105"/>
      <c r="I7" s="105"/>
      <c r="J7" s="105"/>
      <c r="K7" s="105"/>
      <c r="L7" s="106"/>
      <c r="M7" s="106"/>
      <c r="N7" s="106"/>
      <c r="O7" s="106"/>
      <c r="P7" s="106"/>
      <c r="Q7" s="106"/>
      <c r="R7" s="106"/>
      <c r="S7" s="106"/>
      <c r="T7" s="106"/>
      <c r="U7" s="106"/>
      <c r="V7" s="105"/>
      <c r="W7" s="106"/>
      <c r="X7" s="106"/>
      <c r="Y7" s="106"/>
      <c r="Z7" s="105"/>
      <c r="AA7" s="105"/>
      <c r="AB7" s="106"/>
      <c r="AC7" s="106"/>
      <c r="AD7" s="106"/>
      <c r="AE7" s="105"/>
    </row>
    <row r="8" s="85" customFormat="1" customHeight="1" spans="1:31">
      <c r="A8" s="107"/>
      <c r="B8" s="107"/>
      <c r="C8" s="107"/>
      <c r="D8" s="107"/>
      <c r="E8" s="107"/>
      <c r="F8" s="107"/>
      <c r="G8" s="107"/>
      <c r="H8" s="107"/>
      <c r="I8" s="107"/>
      <c r="J8" s="107"/>
      <c r="K8" s="107"/>
      <c r="L8" s="108"/>
      <c r="M8" s="107"/>
      <c r="N8" s="107"/>
    </row>
    <row r="9" s="85" customFormat="1" ht="27.5" customHeight="1" spans="1:31">
      <c r="A9" s="109" t="s">
        <v>4</v>
      </c>
      <c r="B9" s="110"/>
      <c r="C9" s="110"/>
      <c r="D9" s="110"/>
      <c r="E9" s="110"/>
      <c r="F9" s="110"/>
      <c r="G9" s="110"/>
      <c r="H9" s="110"/>
      <c r="I9" s="110"/>
      <c r="J9" s="110"/>
      <c r="K9" s="107"/>
      <c r="L9" s="108"/>
      <c r="M9" s="107"/>
      <c r="N9" s="107"/>
    </row>
    <row r="10" s="85" customFormat="1" ht="28" customHeight="1" spans="1:31">
      <c r="A10" s="111" t="s">
        <v>5</v>
      </c>
      <c r="B10" s="111" t="s">
        <v>6</v>
      </c>
      <c r="C10" s="111"/>
      <c r="D10" s="111"/>
      <c r="E10" s="111" t="s">
        <v>7</v>
      </c>
      <c r="F10" s="111"/>
      <c r="G10" s="111" t="s">
        <v>8</v>
      </c>
      <c r="H10" s="111"/>
      <c r="I10" s="111" t="s">
        <v>9</v>
      </c>
      <c r="J10" s="111"/>
      <c r="K10" s="107"/>
      <c r="L10" s="107"/>
      <c r="M10" s="107"/>
      <c r="N10" s="107"/>
    </row>
    <row r="11" s="85" customFormat="1" ht="28" customHeight="1" spans="1:31">
      <c r="A11" s="112">
        <v>1</v>
      </c>
      <c r="B11" s="112"/>
      <c r="C11" s="112"/>
      <c r="D11" s="112"/>
      <c r="E11" s="113">
        <v>45292</v>
      </c>
      <c r="F11" s="112"/>
      <c r="G11" s="113">
        <v>45311</v>
      </c>
      <c r="H11" s="112"/>
      <c r="I11" s="114">
        <f>NETWORKDAYS(E11,G11,法定节假日!B2:B33)</f>
        <v>14</v>
      </c>
      <c r="J11" s="114"/>
      <c r="K11" s="107"/>
      <c r="L11" s="107"/>
      <c r="M11" s="107"/>
      <c r="N11" s="107"/>
    </row>
    <row r="12" s="85" customFormat="1" ht="28" customHeight="1" spans="1:31">
      <c r="A12" s="112">
        <v>2</v>
      </c>
      <c r="B12" s="112"/>
      <c r="C12" s="112"/>
      <c r="D12" s="112"/>
      <c r="E12" s="112"/>
      <c r="F12" s="112"/>
      <c r="G12" s="112"/>
      <c r="H12" s="112"/>
      <c r="I12" s="114">
        <f>NETWORKDAYS(E12,G12,法定节假日!B2:B33)</f>
        <v>0</v>
      </c>
      <c r="J12" s="114"/>
    </row>
    <row r="13" s="85" customFormat="1" ht="28" customHeight="1" spans="1:31">
      <c r="A13" s="112">
        <v>3</v>
      </c>
      <c r="B13" s="112"/>
      <c r="C13" s="112"/>
      <c r="D13" s="112"/>
      <c r="E13" s="112"/>
      <c r="F13" s="112"/>
      <c r="G13" s="112"/>
      <c r="H13" s="112"/>
      <c r="I13" s="114">
        <f>NETWORKDAYS(E13,G13,法定节假日!B2:B33)</f>
        <v>0</v>
      </c>
      <c r="J13" s="114"/>
    </row>
    <row r="14" s="85" customFormat="1" ht="28" customHeight="1" spans="1:31">
      <c r="A14" s="112">
        <v>4</v>
      </c>
      <c r="B14" s="112"/>
      <c r="C14" s="112"/>
      <c r="D14" s="112"/>
      <c r="E14" s="112"/>
      <c r="F14" s="112"/>
      <c r="G14" s="112"/>
      <c r="H14" s="112"/>
      <c r="I14" s="114">
        <f>NETWORKDAYS(E14,G14,法定节假日!B2:B33)</f>
        <v>0</v>
      </c>
      <c r="J14" s="114"/>
    </row>
    <row r="15" s="85" customFormat="1" ht="28" customHeight="1" spans="1:31">
      <c r="A15" s="112">
        <v>5</v>
      </c>
      <c r="B15" s="112"/>
      <c r="C15" s="112"/>
      <c r="D15" s="112"/>
      <c r="E15" s="112"/>
      <c r="F15" s="112"/>
      <c r="G15" s="112"/>
      <c r="H15" s="112"/>
      <c r="I15" s="114">
        <f>NETWORKDAYS(E15,G15,法定节假日!B2:B33)</f>
        <v>0</v>
      </c>
      <c r="J15" s="114"/>
    </row>
  </sheetData>
  <mergeCells count="33">
    <mergeCell ref="B2:E2"/>
    <mergeCell ref="F2:I2"/>
    <mergeCell ref="J2:N2"/>
    <mergeCell ref="O2:R2"/>
    <mergeCell ref="S2:V2"/>
    <mergeCell ref="W2:AA2"/>
    <mergeCell ref="AB2:AE2"/>
    <mergeCell ref="A9:J9"/>
    <mergeCell ref="B10:D10"/>
    <mergeCell ref="E10:F10"/>
    <mergeCell ref="G10:H10"/>
    <mergeCell ref="I10:J10"/>
    <mergeCell ref="B11:D11"/>
    <mergeCell ref="E11:F11"/>
    <mergeCell ref="G11:H11"/>
    <mergeCell ref="I11:J11"/>
    <mergeCell ref="B12:D12"/>
    <mergeCell ref="E12:F12"/>
    <mergeCell ref="G12:H12"/>
    <mergeCell ref="I12:J12"/>
    <mergeCell ref="B13:D13"/>
    <mergeCell ref="E13:F13"/>
    <mergeCell ref="G13:H13"/>
    <mergeCell ref="I13:J13"/>
    <mergeCell ref="B14:D14"/>
    <mergeCell ref="E14:F14"/>
    <mergeCell ref="G14:H14"/>
    <mergeCell ref="I14:J14"/>
    <mergeCell ref="B15:D15"/>
    <mergeCell ref="E15:F15"/>
    <mergeCell ref="G15:H15"/>
    <mergeCell ref="I15:J15"/>
    <mergeCell ref="A2:A3"/>
  </mergeCells>
  <pageMargins left="0.7" right="0.7" top="0.75" bottom="0.75" header="0.3" footer="0.3"/>
  <headerFooter/>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S86"/>
  <sheetViews>
    <sheetView workbookViewId="0">
      <pane ySplit="2" topLeftCell="A3" activePane="bottomLeft" state="frozen"/>
      <selection/>
      <selection pane="bottomLeft" activeCell="A1" sqref="A1:A2"/>
    </sheetView>
  </sheetViews>
  <sheetFormatPr defaultColWidth="8.66666666666667" defaultRowHeight="16.5" customHeight="1"/>
  <cols>
    <col min="1" max="3" width="8" style="65" customWidth="1"/>
    <col min="4" max="4" width="26.3333333333333" style="46" customWidth="1"/>
    <col min="5" max="6" width="7" style="66" customWidth="1"/>
    <col min="7" max="7" width="9.83333333333333" style="38" customWidth="1"/>
    <col min="8" max="8" width="10.3333333333333" style="37" customWidth="1"/>
    <col min="9" max="9" width="6.5" style="37" customWidth="1"/>
    <col min="10" max="12" width="6.5" style="38" customWidth="1"/>
    <col min="13" max="13" width="11.8333333333333" style="38" customWidth="1"/>
    <col min="14" max="14" width="11.8333333333333" style="37" customWidth="1"/>
    <col min="15" max="15" width="9.83333333333333" style="37" customWidth="1"/>
    <col min="16" max="16" width="12.5" style="37" customWidth="1"/>
    <col min="17" max="18" width="10" style="37" customWidth="1"/>
    <col min="19" max="19" width="45.3333333333333" style="37" customWidth="1"/>
    <col min="20" max="40" width="8.66666666666667" style="37"/>
  </cols>
  <sheetData>
    <row r="1" ht="22.9" customHeight="1" spans="1:19">
      <c r="A1" s="7" t="s">
        <v>10</v>
      </c>
      <c r="B1" s="7" t="s">
        <v>11</v>
      </c>
      <c r="C1" s="7" t="s">
        <v>12</v>
      </c>
      <c r="D1" s="67" t="s">
        <v>13</v>
      </c>
      <c r="E1" s="68" t="s">
        <v>14</v>
      </c>
      <c r="F1" s="68" t="s">
        <v>15</v>
      </c>
      <c r="G1" s="10" t="s">
        <v>16</v>
      </c>
      <c r="H1" s="10"/>
      <c r="I1" s="8" t="s">
        <v>6</v>
      </c>
      <c r="J1" s="7" t="s">
        <v>17</v>
      </c>
      <c r="K1" s="7" t="s">
        <v>18</v>
      </c>
      <c r="L1" s="55" t="s">
        <v>19</v>
      </c>
      <c r="M1" s="10" t="s">
        <v>20</v>
      </c>
      <c r="N1" s="10"/>
      <c r="O1" s="11" t="s">
        <v>21</v>
      </c>
      <c r="P1" s="12" t="s">
        <v>22</v>
      </c>
      <c r="Q1" s="10" t="s">
        <v>23</v>
      </c>
      <c r="R1" s="10"/>
      <c r="S1" s="9" t="s">
        <v>24</v>
      </c>
    </row>
    <row r="2" s="38" customFormat="1" ht="33" customHeight="1" spans="1:19">
      <c r="A2" s="7"/>
      <c r="B2" s="7"/>
      <c r="C2" s="7"/>
      <c r="D2" s="67"/>
      <c r="E2" s="69"/>
      <c r="F2" s="69"/>
      <c r="G2" s="10" t="s">
        <v>25</v>
      </c>
      <c r="H2" s="10" t="s">
        <v>26</v>
      </c>
      <c r="I2" s="8"/>
      <c r="J2" s="8"/>
      <c r="K2" s="8"/>
      <c r="L2" s="57"/>
      <c r="M2" s="10" t="s">
        <v>27</v>
      </c>
      <c r="N2" s="10" t="s">
        <v>28</v>
      </c>
      <c r="O2" s="10" t="s">
        <v>29</v>
      </c>
      <c r="P2" s="15"/>
      <c r="Q2" s="10" t="s">
        <v>30</v>
      </c>
      <c r="R2" s="10" t="s">
        <v>31</v>
      </c>
      <c r="S2" s="14"/>
    </row>
    <row r="3" customHeight="1" spans="1:19">
      <c r="A3" s="70">
        <v>1</v>
      </c>
      <c r="B3" s="70"/>
      <c r="C3" s="70"/>
      <c r="D3" s="71" t="s">
        <v>32</v>
      </c>
      <c r="E3" s="72"/>
      <c r="F3" s="72"/>
      <c r="G3" s="73" t="str">
        <f>IF(COUNTIF(G4:G15,"未完成")=COUNTA(G4:G15),"未完成",IF(COUNTIF(G4:G15,"已完成")=COUNTA(G4:G15),"已完成","进行中"))</f>
        <v>未完成</v>
      </c>
      <c r="H3" s="74"/>
      <c r="I3" s="74"/>
      <c r="J3" s="73"/>
      <c r="K3" s="73"/>
      <c r="L3" s="73"/>
      <c r="M3" s="75">
        <v>45172</v>
      </c>
      <c r="N3" s="75">
        <f>_xlfn.WORKDAY.INTL(M3,O3,1,法定节假日!B2:B31)</f>
        <v>45202</v>
      </c>
      <c r="O3" s="73">
        <v>22</v>
      </c>
      <c r="P3" s="74"/>
      <c r="Q3" s="74"/>
      <c r="R3" s="74"/>
      <c r="S3" s="74"/>
    </row>
    <row r="4" customHeight="1" spans="1:19">
      <c r="A4" s="23"/>
      <c r="B4" s="16">
        <v>1.1</v>
      </c>
      <c r="C4" s="16"/>
      <c r="D4" s="76" t="s">
        <v>33</v>
      </c>
      <c r="E4" s="21"/>
      <c r="F4" s="21"/>
      <c r="G4" s="19" t="str">
        <f>项目准备WBS!S3</f>
        <v>未完成</v>
      </c>
      <c r="H4" s="18"/>
      <c r="I4" s="18"/>
      <c r="J4" s="19"/>
      <c r="K4" s="19"/>
      <c r="L4" s="19"/>
      <c r="M4" s="39">
        <f>M3</f>
        <v>45172</v>
      </c>
      <c r="N4" s="39">
        <f>_xlfn.WORKDAY.INTL(M4,O4,1,法定节假日!B2:B31)</f>
        <v>45177</v>
      </c>
      <c r="O4" s="19">
        <v>5</v>
      </c>
      <c r="P4" s="19"/>
      <c r="Q4" s="18"/>
      <c r="R4" s="18"/>
      <c r="S4" s="18"/>
    </row>
    <row r="5" customHeight="1" spans="1:19">
      <c r="A5" s="23" t="s">
        <v>34</v>
      </c>
      <c r="B5" s="23"/>
      <c r="C5" s="23" t="s">
        <v>35</v>
      </c>
      <c r="D5" s="25" t="s">
        <v>36</v>
      </c>
      <c r="E5" s="29"/>
      <c r="F5" s="29"/>
      <c r="G5" s="26" t="str">
        <f>IF(COUNTIF(项目准备WBS!S4:S9,"未完成")=COUNTA(项目准备WBS!S4:S9),"未完成",IF(COUNTIF(项目准备WBS!S4:S9,"已完成")=COUNTA(项目准备WBS!S4:S9),"已完成","进行中"))</f>
        <v>未完成</v>
      </c>
      <c r="H5" s="25"/>
      <c r="I5" s="25"/>
      <c r="J5" s="26" t="s">
        <v>37</v>
      </c>
      <c r="K5" s="26"/>
      <c r="L5" s="26"/>
      <c r="M5" s="41">
        <v>45172</v>
      </c>
      <c r="N5" s="41">
        <f>_xlfn.WORKDAY.INTL(M5,O5,1,法定节假日!B2:B31)</f>
        <v>45175</v>
      </c>
      <c r="O5" s="26">
        <v>3</v>
      </c>
      <c r="P5" s="26"/>
      <c r="Q5" s="25"/>
      <c r="R5" s="25"/>
      <c r="S5" s="25"/>
    </row>
    <row r="6" customHeight="1" spans="1:19">
      <c r="A6" s="23" t="s">
        <v>34</v>
      </c>
      <c r="B6" s="23"/>
      <c r="C6" s="23" t="s">
        <v>38</v>
      </c>
      <c r="D6" s="24" t="s">
        <v>39</v>
      </c>
      <c r="E6" s="29"/>
      <c r="F6" s="29"/>
      <c r="G6" s="26" t="str">
        <f>IF(COUNTIF(项目准备WBS!S10:S11,"未完成")=COUNTA(项目准备WBS!S10:S11),"未完成",IF(COUNTIF(项目准备WBS!S10:S11,"已完成")=COUNTA(项目准备WBS!S10:S11),"已完成","进行中"))</f>
        <v>未完成</v>
      </c>
      <c r="H6" s="25"/>
      <c r="I6" s="25"/>
      <c r="J6" s="26" t="s">
        <v>37</v>
      </c>
      <c r="K6" s="26"/>
      <c r="L6" s="26" t="s">
        <v>37</v>
      </c>
      <c r="M6" s="41">
        <f>IF(P6="是",N5,"")</f>
        <v>45175</v>
      </c>
      <c r="N6" s="41">
        <f>_xlfn.WORKDAY.INTL(M6,O6,1,法定节假日!B2:B31)</f>
        <v>45177</v>
      </c>
      <c r="O6" s="26">
        <v>2</v>
      </c>
      <c r="P6" s="26" t="s">
        <v>40</v>
      </c>
      <c r="Q6" s="25"/>
      <c r="R6" s="25"/>
      <c r="S6" s="25"/>
    </row>
    <row r="7" customHeight="1" spans="1:19">
      <c r="A7" s="23"/>
      <c r="B7" s="16">
        <v>1.2</v>
      </c>
      <c r="C7" s="16"/>
      <c r="D7" s="76" t="s">
        <v>41</v>
      </c>
      <c r="E7" s="21"/>
      <c r="F7" s="21"/>
      <c r="G7" s="19" t="str">
        <f>项目准备WBS!S12</f>
        <v>未完成</v>
      </c>
      <c r="H7" s="18"/>
      <c r="I7" s="18"/>
      <c r="J7" s="19"/>
      <c r="K7" s="19"/>
      <c r="L7" s="19"/>
      <c r="M7" s="39">
        <v>45180</v>
      </c>
      <c r="N7" s="39">
        <f>_xlfn.WORKDAY.INTL(M7,O7,1,法定节假日!B2:B31)</f>
        <v>45189</v>
      </c>
      <c r="O7" s="19">
        <v>7</v>
      </c>
      <c r="P7" s="19"/>
      <c r="Q7" s="18"/>
      <c r="R7" s="18"/>
      <c r="S7" s="18"/>
    </row>
    <row r="8" customHeight="1" spans="1:19">
      <c r="A8" s="23" t="s">
        <v>34</v>
      </c>
      <c r="B8" s="23"/>
      <c r="C8" s="23" t="s">
        <v>42</v>
      </c>
      <c r="D8" s="35" t="s">
        <v>43</v>
      </c>
      <c r="E8" s="29"/>
      <c r="F8" s="29"/>
      <c r="G8" s="26" t="str">
        <f>项目准备WBS!S13</f>
        <v>未完成</v>
      </c>
      <c r="H8" s="25"/>
      <c r="I8" s="25"/>
      <c r="J8" s="26"/>
      <c r="K8" s="26"/>
      <c r="L8" s="26"/>
      <c r="M8" s="62">
        <v>45178</v>
      </c>
      <c r="N8" s="62">
        <f>_xlfn.WORKDAY.INTL(M8,O8,1,法定节假日!B2:B31)</f>
        <v>45181</v>
      </c>
      <c r="O8" s="61">
        <v>2</v>
      </c>
      <c r="P8" s="61"/>
      <c r="Q8" s="25"/>
      <c r="R8" s="25"/>
      <c r="S8" s="25"/>
    </row>
    <row r="9" customHeight="1" spans="1:19">
      <c r="A9" s="23" t="s">
        <v>34</v>
      </c>
      <c r="B9" s="23"/>
      <c r="C9" s="23" t="s">
        <v>44</v>
      </c>
      <c r="D9" s="35" t="s">
        <v>45</v>
      </c>
      <c r="E9" s="29"/>
      <c r="F9" s="29"/>
      <c r="G9" s="26" t="str">
        <f>IF(COUNTIF(项目准备WBS!S14:S15,"未完成")=COUNTA(项目准备WBS!S14:S15),"未完成",IF(COUNTIF(项目准备WBS!S14:S15,"已完成")=COUNTA(项目准备WBS!S14:S15),"已完成","进行中"))</f>
        <v>未完成</v>
      </c>
      <c r="H9" s="25"/>
      <c r="I9" s="25"/>
      <c r="J9" s="26" t="s">
        <v>37</v>
      </c>
      <c r="K9" s="26"/>
      <c r="L9" s="26" t="s">
        <v>37</v>
      </c>
      <c r="M9" s="62">
        <f>IF(P9="是",N8,"")</f>
        <v>45181</v>
      </c>
      <c r="N9" s="62">
        <f>_xlfn.WORKDAY.INTL(M9,O9,1,法定节假日!B2:B31)</f>
        <v>45184</v>
      </c>
      <c r="O9" s="61">
        <v>3</v>
      </c>
      <c r="P9" s="61" t="s">
        <v>40</v>
      </c>
      <c r="Q9" s="25"/>
      <c r="R9" s="25"/>
      <c r="S9" s="25" t="s">
        <v>46</v>
      </c>
    </row>
    <row r="10" customHeight="1" spans="1:19">
      <c r="A10" s="23" t="s">
        <v>34</v>
      </c>
      <c r="B10" s="23"/>
      <c r="C10" s="23" t="s">
        <v>47</v>
      </c>
      <c r="D10" s="35" t="s">
        <v>48</v>
      </c>
      <c r="E10" s="29"/>
      <c r="F10" s="29"/>
      <c r="G10" s="26" t="str">
        <f>IF(COUNTIF(项目准备WBS!S16:S17,"未完成")=COUNTA(项目准备WBS!S16:S17),"未完成",IF(COUNTIF(项目准备WBS!S16:S17,"已完成")=COUNTA(项目准备WBS!S16:S17),"已完成","进行中"))</f>
        <v>未完成</v>
      </c>
      <c r="H10" s="25"/>
      <c r="I10" s="25"/>
      <c r="J10" s="26" t="s">
        <v>37</v>
      </c>
      <c r="K10" s="26"/>
      <c r="L10" s="26" t="s">
        <v>37</v>
      </c>
      <c r="M10" s="62">
        <f>IF(P10="是",N9,"")</f>
        <v>45184</v>
      </c>
      <c r="N10" s="62">
        <f>_xlfn.WORKDAY.INTL(M10,O10,1,法定节假日!B2:B31)</f>
        <v>45195</v>
      </c>
      <c r="O10" s="61">
        <v>7</v>
      </c>
      <c r="P10" s="61" t="s">
        <v>40</v>
      </c>
      <c r="Q10" s="25"/>
      <c r="R10" s="25"/>
      <c r="S10" s="25" t="s">
        <v>49</v>
      </c>
    </row>
    <row r="11" customHeight="1" spans="1:19">
      <c r="A11" s="23"/>
      <c r="B11" s="16">
        <v>1.3</v>
      </c>
      <c r="C11" s="16"/>
      <c r="D11" s="76" t="s">
        <v>50</v>
      </c>
      <c r="E11" s="21"/>
      <c r="F11" s="21"/>
      <c r="G11" s="19" t="str">
        <f>项目准备WBS!S18</f>
        <v>未完成</v>
      </c>
      <c r="H11" s="18"/>
      <c r="I11" s="18"/>
      <c r="J11" s="19"/>
      <c r="K11" s="19"/>
      <c r="L11" s="19"/>
      <c r="M11" s="39">
        <v>45174</v>
      </c>
      <c r="N11" s="39">
        <f>_xlfn.WORKDAY.INTL(M11,O11,1,法定节假日!B2:B31)</f>
        <v>45177</v>
      </c>
      <c r="O11" s="19">
        <v>3</v>
      </c>
      <c r="P11" s="19"/>
      <c r="Q11" s="18"/>
      <c r="R11" s="18"/>
      <c r="S11" s="18"/>
    </row>
    <row r="12" customHeight="1" spans="1:19">
      <c r="A12" s="23" t="s">
        <v>34</v>
      </c>
      <c r="B12" s="23"/>
      <c r="C12" s="23" t="s">
        <v>51</v>
      </c>
      <c r="D12" s="35" t="s">
        <v>52</v>
      </c>
      <c r="E12" s="29"/>
      <c r="F12" s="29"/>
      <c r="G12" s="26" t="str">
        <f>项目准备WBS!S19</f>
        <v>未完成</v>
      </c>
      <c r="H12" s="25"/>
      <c r="I12" s="25"/>
      <c r="J12" s="26"/>
      <c r="K12" s="26" t="s">
        <v>37</v>
      </c>
      <c r="L12" s="26"/>
      <c r="M12" s="41">
        <f>M11</f>
        <v>45174</v>
      </c>
      <c r="N12" s="41">
        <f>_xlfn.WORKDAY.INTL(M12,O12,1,法定节假日!B2:B31)</f>
        <v>45182</v>
      </c>
      <c r="O12" s="26">
        <v>6</v>
      </c>
      <c r="P12" s="26"/>
      <c r="Q12" s="25"/>
      <c r="R12" s="25"/>
      <c r="S12" s="25" t="s">
        <v>53</v>
      </c>
    </row>
    <row r="13" customHeight="1" spans="1:19">
      <c r="A13" s="23" t="s">
        <v>34</v>
      </c>
      <c r="B13" s="23"/>
      <c r="C13" s="23" t="s">
        <v>54</v>
      </c>
      <c r="D13" s="35" t="s">
        <v>55</v>
      </c>
      <c r="E13" s="29"/>
      <c r="F13" s="29"/>
      <c r="G13" s="26" t="str">
        <f>项目准备WBS!S20</f>
        <v>未完成</v>
      </c>
      <c r="H13" s="25"/>
      <c r="I13" s="25"/>
      <c r="J13" s="26"/>
      <c r="K13" s="26"/>
      <c r="L13" s="26"/>
      <c r="M13" s="62">
        <f>IF(P13="是",N12,"")</f>
        <v>45182</v>
      </c>
      <c r="N13" s="41">
        <f>_xlfn.WORKDAY.INTL(M13,O13,1,法定节假日!B2:B31)</f>
        <v>45189</v>
      </c>
      <c r="O13" s="61">
        <v>5</v>
      </c>
      <c r="P13" s="61" t="s">
        <v>40</v>
      </c>
      <c r="Q13" s="25"/>
      <c r="R13" s="25"/>
      <c r="S13" s="25"/>
    </row>
    <row r="14" customHeight="1" spans="1:19">
      <c r="A14" s="23" t="s">
        <v>34</v>
      </c>
      <c r="B14" s="23"/>
      <c r="C14" s="23" t="s">
        <v>56</v>
      </c>
      <c r="D14" s="35" t="s">
        <v>57</v>
      </c>
      <c r="E14" s="29"/>
      <c r="F14" s="29"/>
      <c r="G14" s="26" t="str">
        <f>项目准备WBS!S21</f>
        <v>未完成</v>
      </c>
      <c r="H14" s="25"/>
      <c r="I14" s="25"/>
      <c r="J14" s="26"/>
      <c r="K14" s="26" t="s">
        <v>37</v>
      </c>
      <c r="L14" s="26" t="s">
        <v>37</v>
      </c>
      <c r="M14" s="62" t="str">
        <f>IF(P14="是",N13,"")</f>
        <v/>
      </c>
      <c r="N14" s="41" t="e">
        <f>_xlfn.WORKDAY.INTL(M14,O14,1,法定节假日!B2:B31)</f>
        <v>#VALUE!</v>
      </c>
      <c r="O14" s="26"/>
      <c r="P14" s="26"/>
      <c r="Q14" s="25"/>
      <c r="R14" s="25"/>
      <c r="S14" s="25" t="s">
        <v>58</v>
      </c>
    </row>
    <row r="15" customHeight="1" spans="1:19">
      <c r="A15" s="23" t="s">
        <v>34</v>
      </c>
      <c r="B15" s="23"/>
      <c r="C15" s="23" t="s">
        <v>59</v>
      </c>
      <c r="D15" s="35" t="s">
        <v>60</v>
      </c>
      <c r="E15" s="29"/>
      <c r="F15" s="29"/>
      <c r="G15" s="26" t="str">
        <f>IF(COUNTIF(项目准备WBS!S22:S24,"未完成")=COUNTA(项目准备WBS!S22:S24),"未完成",IF(COUNTIF(项目准备WBS!S22:S24,"已完成")=COUNTA(项目准备WBS!S22:S24),"已完成","进行中"))</f>
        <v>未完成</v>
      </c>
      <c r="H15" s="25"/>
      <c r="I15" s="26" t="s">
        <v>37</v>
      </c>
      <c r="J15" s="26" t="s">
        <v>37</v>
      </c>
      <c r="K15" s="26" t="s">
        <v>37</v>
      </c>
      <c r="L15" s="26" t="s">
        <v>37</v>
      </c>
      <c r="M15" s="62" t="str">
        <f>IF(P15="是",N14,"")</f>
        <v/>
      </c>
      <c r="N15" s="41" t="e">
        <f>_xlfn.WORKDAY.INTL(M15,O15,1,法定节假日!B2:B31)</f>
        <v>#VALUE!</v>
      </c>
      <c r="O15" s="26"/>
      <c r="P15" s="26"/>
      <c r="Q15" s="25"/>
      <c r="R15" s="25"/>
      <c r="S15" s="25" t="s">
        <v>61</v>
      </c>
    </row>
    <row r="16" customHeight="1" spans="1:19">
      <c r="A16" s="70">
        <v>2</v>
      </c>
      <c r="B16" s="70"/>
      <c r="C16" s="70"/>
      <c r="D16" s="71" t="s">
        <v>62</v>
      </c>
      <c r="E16" s="72"/>
      <c r="F16" s="72"/>
      <c r="G16" s="73" t="str">
        <f>IF(COUNTIF(G17:G38,"未完成")=COUNTA(G17:G38),"未完成",IF(COUNTIF(G17:G38,"已完成")=COUNTA(G17:G38),"已完成","进行中"))</f>
        <v>未完成</v>
      </c>
      <c r="H16" s="74"/>
      <c r="I16" s="74"/>
      <c r="J16" s="73"/>
      <c r="K16" s="73"/>
      <c r="L16" s="73"/>
      <c r="M16" s="75"/>
      <c r="N16" s="75">
        <f>_xlfn.WORKDAY.INTL(M16,O16,1,法定节假日!B2:B31)</f>
        <v>0</v>
      </c>
      <c r="O16" s="73"/>
      <c r="P16" s="73"/>
      <c r="Q16" s="74"/>
      <c r="R16" s="74"/>
      <c r="S16" s="74"/>
    </row>
    <row r="17" customHeight="1" spans="1:19">
      <c r="A17" s="23"/>
      <c r="B17" s="16">
        <v>2.1</v>
      </c>
      <c r="C17" s="16"/>
      <c r="D17" s="77" t="s">
        <v>63</v>
      </c>
      <c r="E17" s="21"/>
      <c r="F17" s="21"/>
      <c r="G17" s="19" t="str">
        <f>需求分析WBS!S3</f>
        <v>未完成</v>
      </c>
      <c r="H17" s="18"/>
      <c r="I17" s="18"/>
      <c r="J17" s="19"/>
      <c r="K17" s="19"/>
      <c r="L17" s="19"/>
      <c r="M17" s="39"/>
      <c r="N17" s="39">
        <f>_xlfn.WORKDAY.INTL(M17,O17,1,法定节假日!B2:B31)</f>
        <v>0</v>
      </c>
      <c r="O17" s="19"/>
      <c r="P17" s="19"/>
      <c r="Q17" s="18"/>
      <c r="R17" s="18"/>
      <c r="S17" s="18"/>
    </row>
    <row r="18" customHeight="1" spans="1:19">
      <c r="A18" s="23" t="s">
        <v>34</v>
      </c>
      <c r="B18" s="23"/>
      <c r="C18" s="23" t="s">
        <v>64</v>
      </c>
      <c r="D18" s="35" t="s">
        <v>65</v>
      </c>
      <c r="E18" s="29"/>
      <c r="F18" s="29" t="s">
        <v>47</v>
      </c>
      <c r="G18" s="26" t="str">
        <f>IF(COUNTIF(需求分析WBS!S4:S5,"未完成")=COUNTA(需求分析WBS!S4:S5),"未完成",IF(COUNTIF(需求分析WBS!S4:S5,"已完成")=COUNTA(需求分析WBS!S4:S5),"已完成","进行中"))</f>
        <v>未完成</v>
      </c>
      <c r="H18" s="25"/>
      <c r="I18" s="25"/>
      <c r="J18" s="26"/>
      <c r="K18" s="26"/>
      <c r="L18" s="26"/>
      <c r="M18" s="41"/>
      <c r="N18" s="41">
        <f>_xlfn.WORKDAY.INTL(M18,O18,1,法定节假日!B2:B31)</f>
        <v>0</v>
      </c>
      <c r="O18" s="26"/>
      <c r="P18" s="26"/>
      <c r="Q18" s="25"/>
      <c r="R18" s="25"/>
      <c r="S18" s="25"/>
    </row>
    <row r="19" customHeight="1" spans="1:19">
      <c r="A19" s="23" t="s">
        <v>34</v>
      </c>
      <c r="B19" s="23"/>
      <c r="C19" s="23" t="s">
        <v>66</v>
      </c>
      <c r="D19" s="35" t="s">
        <v>67</v>
      </c>
      <c r="E19" s="29"/>
      <c r="F19" s="29"/>
      <c r="G19" s="26" t="str">
        <f>IF(COUNTIF(需求分析WBS!S6:S7,"未完成")=COUNTA(需求分析WBS!S6:S7),"未完成",IF(COUNTIF(需求分析WBS!S6:S7,"已完成")=COUNTA(需求分析WBS!S6:S7),"已完成","进行中"))</f>
        <v>未完成</v>
      </c>
      <c r="H19" s="25"/>
      <c r="I19" s="25"/>
      <c r="J19" s="26"/>
      <c r="K19" s="26"/>
      <c r="L19" s="26"/>
      <c r="M19" s="41" t="str">
        <f>IF(P19="是",N18,"")</f>
        <v/>
      </c>
      <c r="N19" s="41" t="e">
        <f>_xlfn.WORKDAY.INTL(M19,O19,1,法定节假日!B2:B31)</f>
        <v>#VALUE!</v>
      </c>
      <c r="O19" s="26"/>
      <c r="P19" s="26"/>
      <c r="Q19" s="25"/>
      <c r="R19" s="25"/>
      <c r="S19" s="25"/>
    </row>
    <row r="20" customHeight="1" spans="1:19">
      <c r="A20" s="23" t="s">
        <v>34</v>
      </c>
      <c r="B20" s="23"/>
      <c r="C20" s="23" t="s">
        <v>68</v>
      </c>
      <c r="D20" s="35" t="s">
        <v>69</v>
      </c>
      <c r="E20" s="29"/>
      <c r="F20" s="29" t="s">
        <v>42</v>
      </c>
      <c r="G20" s="26" t="str">
        <f>IF(COUNTIF(需求分析WBS!S8:S12,"未完成")=COUNTA(需求分析WBS!S8:S12),"未完成",IF(COUNTIF(需求分析WBS!S8:S12,"已完成")=COUNTA(需求分析WBS!S8:S12),"已完成","进行中"))</f>
        <v>未完成</v>
      </c>
      <c r="H20" s="25"/>
      <c r="I20" s="25"/>
      <c r="J20" s="26"/>
      <c r="K20" s="26"/>
      <c r="L20" s="26"/>
      <c r="M20" s="41" t="str">
        <f>IF(P20="是",N19,"")</f>
        <v/>
      </c>
      <c r="N20" s="41" t="e">
        <f>_xlfn.WORKDAY.INTL(M20,O20,1,法定节假日!B2:B31)</f>
        <v>#VALUE!</v>
      </c>
      <c r="O20" s="26"/>
      <c r="P20" s="26"/>
      <c r="Q20" s="25"/>
      <c r="R20" s="25"/>
      <c r="S20" s="25" t="s">
        <v>70</v>
      </c>
    </row>
    <row r="21" customHeight="1" spans="1:19">
      <c r="A21" s="23" t="s">
        <v>34</v>
      </c>
      <c r="B21" s="23"/>
      <c r="C21" s="23" t="s">
        <v>71</v>
      </c>
      <c r="D21" s="35" t="s">
        <v>72</v>
      </c>
      <c r="E21" s="29"/>
      <c r="F21" s="29"/>
      <c r="G21" s="26" t="str">
        <f>IF(COUNTIF(需求分析WBS!S13:S16,"未完成")=COUNTA(需求分析WBS!S13:S16),"未完成",IF(COUNTIF(需求分析WBS!S13:S16,"已完成")=COUNTA(需求分析WBS!S13:S16),"已完成","进行中"))</f>
        <v>未完成</v>
      </c>
      <c r="H21" s="25"/>
      <c r="I21" s="25"/>
      <c r="J21" s="26" t="s">
        <v>37</v>
      </c>
      <c r="K21" s="26" t="s">
        <v>37</v>
      </c>
      <c r="L21" s="26" t="s">
        <v>37</v>
      </c>
      <c r="M21" s="41" t="str">
        <f>IF(P21="是",N20,"")</f>
        <v/>
      </c>
      <c r="N21" s="41" t="e">
        <f>_xlfn.WORKDAY.INTL(M21,O21,1,法定节假日!B2:B31)</f>
        <v>#VALUE!</v>
      </c>
      <c r="O21" s="26"/>
      <c r="P21" s="26"/>
      <c r="Q21" s="25"/>
      <c r="R21" s="25"/>
      <c r="S21" s="25" t="s">
        <v>73</v>
      </c>
    </row>
    <row r="22" customHeight="1" spans="1:19">
      <c r="A22" s="23"/>
      <c r="B22" s="16">
        <v>2.2</v>
      </c>
      <c r="C22" s="16"/>
      <c r="D22" s="77" t="s">
        <v>74</v>
      </c>
      <c r="E22" s="21"/>
      <c r="F22" s="21"/>
      <c r="G22" s="19" t="str">
        <f>需求分析WBS!S17</f>
        <v>未完成</v>
      </c>
      <c r="H22" s="18"/>
      <c r="I22" s="18"/>
      <c r="J22" s="19"/>
      <c r="K22" s="19"/>
      <c r="L22" s="19"/>
      <c r="M22" s="39" t="str">
        <f>IF(P22="是",N21,"")</f>
        <v/>
      </c>
      <c r="N22" s="39" t="e">
        <f>_xlfn.WORKDAY.INTL(M22,O22,1,法定节假日!B2:B31)</f>
        <v>#VALUE!</v>
      </c>
      <c r="O22" s="19"/>
      <c r="P22" s="19"/>
      <c r="Q22" s="18"/>
      <c r="R22" s="18"/>
      <c r="S22" s="18"/>
    </row>
    <row r="23" customHeight="1" spans="1:19">
      <c r="A23" s="23" t="s">
        <v>34</v>
      </c>
      <c r="B23" s="23"/>
      <c r="C23" s="23" t="s">
        <v>75</v>
      </c>
      <c r="D23" s="35" t="s">
        <v>76</v>
      </c>
      <c r="E23" s="29"/>
      <c r="F23" s="29"/>
      <c r="G23" s="26" t="str">
        <f>IF(COUNTIF(需求分析WBS!S18:S19,"未完成")=COUNTA(需求分析WBS!S18:S19),"未完成",IF(COUNTIF(需求分析WBS!S18:S19,"已完成")=COUNTA(需求分析WBS!S18:S19),"已完成","进行中"))</f>
        <v>未完成</v>
      </c>
      <c r="H23" s="25"/>
      <c r="I23" s="25"/>
      <c r="J23" s="26"/>
      <c r="K23" s="26"/>
      <c r="L23" s="26" t="s">
        <v>37</v>
      </c>
      <c r="M23" s="41"/>
      <c r="N23" s="41">
        <f>_xlfn.WORKDAY.INTL(M23,O23,1,法定节假日!B2:B31)</f>
        <v>0</v>
      </c>
      <c r="O23" s="26"/>
      <c r="P23" s="26"/>
      <c r="Q23" s="25"/>
      <c r="R23" s="25"/>
      <c r="S23" s="25" t="s">
        <v>77</v>
      </c>
    </row>
    <row r="24" customHeight="1" spans="1:19">
      <c r="A24" s="23" t="s">
        <v>34</v>
      </c>
      <c r="B24" s="23"/>
      <c r="C24" s="23" t="s">
        <v>78</v>
      </c>
      <c r="D24" s="35" t="s">
        <v>79</v>
      </c>
      <c r="E24" s="29"/>
      <c r="F24" s="29"/>
      <c r="G24" s="26" t="str">
        <f>IF(COUNTIF(需求分析WBS!S20:S23,"未完成")=COUNTA(需求分析WBS!S20:S23),"未完成",IF(COUNTIF(需求分析WBS!S20:S23,"已完成")=COUNTA(需求分析WBS!S20:S23),"已完成","进行中"))</f>
        <v>未完成</v>
      </c>
      <c r="H24" s="25"/>
      <c r="I24" s="25"/>
      <c r="J24" s="26"/>
      <c r="K24" s="26"/>
      <c r="L24" s="26" t="s">
        <v>37</v>
      </c>
      <c r="M24" s="41" t="str">
        <f>IF(P24="是",N23,"")</f>
        <v/>
      </c>
      <c r="N24" s="41" t="e">
        <f>_xlfn.WORKDAY.INTL(M24,O24,1,法定节假日!B2:B31)</f>
        <v>#VALUE!</v>
      </c>
      <c r="O24" s="26"/>
      <c r="P24" s="26"/>
      <c r="Q24" s="25"/>
      <c r="R24" s="25"/>
      <c r="S24" s="25" t="s">
        <v>80</v>
      </c>
    </row>
    <row r="25" customHeight="1" spans="1:19">
      <c r="A25" s="23" t="s">
        <v>34</v>
      </c>
      <c r="B25" s="23"/>
      <c r="C25" s="23" t="s">
        <v>81</v>
      </c>
      <c r="D25" s="35" t="s">
        <v>82</v>
      </c>
      <c r="E25" s="29"/>
      <c r="F25" s="29"/>
      <c r="G25" s="26" t="str">
        <f>IF(COUNTIF(需求分析WBS!S24:S25,"未完成")=COUNTA(需求分析WBS!S24:S25),"未完成",IF(COUNTIF(需求分析WBS!S24:S25,"已完成")=COUNTA(需求分析WBS!S24:S25),"已完成","进行中"))</f>
        <v>未完成</v>
      </c>
      <c r="H25" s="25"/>
      <c r="I25" s="26" t="s">
        <v>37</v>
      </c>
      <c r="J25" s="26" t="s">
        <v>37</v>
      </c>
      <c r="K25" s="26" t="s">
        <v>37</v>
      </c>
      <c r="L25" s="26" t="s">
        <v>37</v>
      </c>
      <c r="M25" s="41" t="str">
        <f>IF(P25="是",N24,"")</f>
        <v/>
      </c>
      <c r="N25" s="41" t="e">
        <f>_xlfn.WORKDAY.INTL(M25,O25,1,法定节假日!B2:B31)</f>
        <v>#VALUE!</v>
      </c>
      <c r="O25" s="26"/>
      <c r="P25" s="26"/>
      <c r="Q25" s="25"/>
      <c r="R25" s="25"/>
      <c r="S25" s="25" t="s">
        <v>83</v>
      </c>
    </row>
    <row r="26" customHeight="1" spans="1:19">
      <c r="A26" s="23"/>
      <c r="B26" s="16">
        <v>2.3</v>
      </c>
      <c r="C26" s="16"/>
      <c r="D26" s="77" t="s">
        <v>84</v>
      </c>
      <c r="E26" s="21"/>
      <c r="F26" s="21"/>
      <c r="G26" s="19" t="str">
        <f>需求分析WBS!S26</f>
        <v>未完成</v>
      </c>
      <c r="H26" s="18"/>
      <c r="I26" s="18"/>
      <c r="J26" s="19"/>
      <c r="K26" s="19"/>
      <c r="L26" s="19"/>
      <c r="M26" s="39" t="str">
        <f>IF(P26="是",N25,"")</f>
        <v/>
      </c>
      <c r="N26" s="39" t="e">
        <f>_xlfn.WORKDAY.INTL(M26,O26,1,法定节假日!B2:B31)</f>
        <v>#VALUE!</v>
      </c>
      <c r="O26" s="19"/>
      <c r="P26" s="19"/>
      <c r="Q26" s="18"/>
      <c r="R26" s="18"/>
      <c r="S26" s="18"/>
    </row>
    <row r="27" customHeight="1" spans="1:19">
      <c r="A27" s="23" t="s">
        <v>34</v>
      </c>
      <c r="B27" s="23"/>
      <c r="C27" s="23" t="s">
        <v>85</v>
      </c>
      <c r="D27" s="35" t="s">
        <v>86</v>
      </c>
      <c r="E27" s="29"/>
      <c r="F27" s="29"/>
      <c r="G27" s="26" t="str">
        <f>IF(COUNTIF(需求分析WBS!S27:S28,"未完成")=COUNTA(需求分析WBS!S27:S28),"未完成",IF(COUNTIF(需求分析WBS!S27:S28,"已完成")=COUNTA(需求分析WBS!S27:S28),"已完成","进行中"))</f>
        <v>未完成</v>
      </c>
      <c r="H27" s="25"/>
      <c r="I27" s="26"/>
      <c r="J27" s="26"/>
      <c r="K27" s="26"/>
      <c r="L27" s="26"/>
      <c r="M27" s="41"/>
      <c r="N27" s="41">
        <f>_xlfn.WORKDAY.INTL(M27,O27,1,法定节假日!B2:B31)</f>
        <v>0</v>
      </c>
      <c r="O27" s="26"/>
      <c r="P27" s="26"/>
      <c r="Q27" s="25"/>
      <c r="R27" s="25"/>
      <c r="S27" s="25"/>
    </row>
    <row r="28" customHeight="1" spans="1:19">
      <c r="A28" s="23" t="s">
        <v>34</v>
      </c>
      <c r="B28" s="23"/>
      <c r="C28" s="23" t="s">
        <v>87</v>
      </c>
      <c r="D28" s="35" t="s">
        <v>88</v>
      </c>
      <c r="E28" s="29"/>
      <c r="F28" s="29"/>
      <c r="G28" s="26" t="str">
        <f>IF(COUNTIF(需求分析WBS!S29:S33,"未完成")=COUNTA(需求分析WBS!S29:S33),"未完成",IF(COUNTIF(需求分析WBS!S29:S33,"已完成")=COUNTA(需求分析WBS!S29:S33),"已完成","进行中"))</f>
        <v>未完成</v>
      </c>
      <c r="H28" s="25"/>
      <c r="I28" s="26"/>
      <c r="J28" s="26" t="s">
        <v>37</v>
      </c>
      <c r="K28" s="26" t="s">
        <v>37</v>
      </c>
      <c r="L28" s="26" t="s">
        <v>37</v>
      </c>
      <c r="M28" s="41" t="str">
        <f>IF(P28="是",N27,"")</f>
        <v/>
      </c>
      <c r="N28" s="41" t="e">
        <f>_xlfn.WORKDAY.INTL(M28,O28,1,法定节假日!B2:B31)</f>
        <v>#VALUE!</v>
      </c>
      <c r="O28" s="26"/>
      <c r="P28" s="26"/>
      <c r="Q28" s="25"/>
      <c r="R28" s="25"/>
      <c r="S28" s="25" t="s">
        <v>89</v>
      </c>
    </row>
    <row r="29" customHeight="1" spans="1:19">
      <c r="A29" s="23"/>
      <c r="B29" s="16">
        <v>2.4</v>
      </c>
      <c r="C29" s="16"/>
      <c r="D29" s="77" t="s">
        <v>90</v>
      </c>
      <c r="E29" s="21"/>
      <c r="F29" s="21"/>
      <c r="G29" s="19" t="str">
        <f>需求分析WBS!S34</f>
        <v>未完成</v>
      </c>
      <c r="H29" s="18"/>
      <c r="I29" s="18"/>
      <c r="J29" s="19"/>
      <c r="K29" s="19"/>
      <c r="L29" s="19"/>
      <c r="M29" s="39" t="str">
        <f>IF(P29="是",N28,"")</f>
        <v/>
      </c>
      <c r="N29" s="39" t="e">
        <f>_xlfn.WORKDAY.INTL(M29,O29,1,法定节假日!B2:B31)</f>
        <v>#VALUE!</v>
      </c>
      <c r="O29" s="19"/>
      <c r="P29" s="19"/>
      <c r="Q29" s="18"/>
      <c r="R29" s="18"/>
      <c r="S29" s="18"/>
    </row>
    <row r="30" customHeight="1" spans="1:19">
      <c r="A30" s="23" t="s">
        <v>34</v>
      </c>
      <c r="B30" s="23"/>
      <c r="C30" s="23" t="s">
        <v>91</v>
      </c>
      <c r="D30" s="35" t="s">
        <v>92</v>
      </c>
      <c r="E30" s="29"/>
      <c r="F30" s="29"/>
      <c r="G30" s="26" t="str">
        <f>IF(COUNTIF(需求分析WBS!S35:S37,"未完成")=COUNTA(需求分析WBS!S35:S37),"未完成",IF(COUNTIF(需求分析WBS!S35:S37,"已完成")=COUNTA(需求分析WBS!S35:S37),"已完成","进行中"))</f>
        <v>未完成</v>
      </c>
      <c r="H30" s="25"/>
      <c r="I30" s="25"/>
      <c r="J30" s="26"/>
      <c r="K30" s="26" t="s">
        <v>37</v>
      </c>
      <c r="L30" s="26"/>
      <c r="M30" s="41"/>
      <c r="N30" s="41">
        <f>_xlfn.WORKDAY.INTL(M30,O30,1,法定节假日!B2:B31)</f>
        <v>0</v>
      </c>
      <c r="O30" s="26"/>
      <c r="P30" s="26"/>
      <c r="Q30" s="25"/>
      <c r="R30" s="25"/>
      <c r="S30" s="25" t="s">
        <v>93</v>
      </c>
    </row>
    <row r="31" customHeight="1" spans="1:19">
      <c r="A31" s="23" t="s">
        <v>34</v>
      </c>
      <c r="B31" s="23"/>
      <c r="C31" s="23" t="s">
        <v>94</v>
      </c>
      <c r="D31" s="35" t="s">
        <v>95</v>
      </c>
      <c r="E31" s="29"/>
      <c r="F31" s="29"/>
      <c r="G31" s="26" t="str">
        <f>IF(COUNTIF(需求分析WBS!S38:S40,"未完成")=COUNTA(需求分析WBS!S38:S40),"未完成",IF(COUNTIF(需求分析WBS!S38:S40,"已完成")=COUNTA(需求分析WBS!S38:S40),"已完成","进行中"))</f>
        <v>未完成</v>
      </c>
      <c r="H31" s="25"/>
      <c r="I31" s="25"/>
      <c r="J31" s="26"/>
      <c r="K31" s="26"/>
      <c r="L31" s="26"/>
      <c r="M31" s="41" t="str">
        <f>IF(P31="是",N30,"")</f>
        <v/>
      </c>
      <c r="N31" s="41" t="e">
        <f>_xlfn.WORKDAY.INTL(M31,O31,1,法定节假日!B2:B31)</f>
        <v>#VALUE!</v>
      </c>
      <c r="O31" s="26"/>
      <c r="P31" s="26"/>
      <c r="Q31" s="25"/>
      <c r="R31" s="25"/>
      <c r="S31" s="25"/>
    </row>
    <row r="32" customHeight="1" spans="1:19">
      <c r="A32" s="23" t="s">
        <v>34</v>
      </c>
      <c r="B32" s="23"/>
      <c r="C32" s="23" t="s">
        <v>96</v>
      </c>
      <c r="D32" s="35" t="s">
        <v>97</v>
      </c>
      <c r="E32" s="29"/>
      <c r="F32" s="29"/>
      <c r="G32" s="26" t="str">
        <f>IF(COUNTIF(需求分析WBS!S41:S43,"未完成")=COUNTA(需求分析WBS!S41:S43),"未完成",IF(COUNTIF(需求分析WBS!S41:S43,"已完成")=COUNTA(需求分析WBS!S41:S43),"已完成","进行中"))</f>
        <v>未完成</v>
      </c>
      <c r="H32" s="25"/>
      <c r="I32" s="25"/>
      <c r="J32" s="26" t="s">
        <v>37</v>
      </c>
      <c r="K32" s="26" t="s">
        <v>37</v>
      </c>
      <c r="L32" s="26" t="s">
        <v>37</v>
      </c>
      <c r="M32" s="41" t="str">
        <f>IF(P32="是",N31,"")</f>
        <v/>
      </c>
      <c r="N32" s="41" t="e">
        <f>_xlfn.WORKDAY.INTL(M32,O32,1,法定节假日!B2:B31)</f>
        <v>#VALUE!</v>
      </c>
      <c r="O32" s="26"/>
      <c r="P32" s="26"/>
      <c r="Q32" s="25"/>
      <c r="R32" s="25"/>
      <c r="S32" s="25" t="s">
        <v>98</v>
      </c>
    </row>
    <row r="33" customHeight="1" spans="1:19">
      <c r="A33" s="23" t="s">
        <v>34</v>
      </c>
      <c r="B33" s="23"/>
      <c r="C33" s="23" t="s">
        <v>99</v>
      </c>
      <c r="D33" s="35" t="s">
        <v>100</v>
      </c>
      <c r="E33" s="29"/>
      <c r="F33" s="29"/>
      <c r="G33" s="26" t="str">
        <f>需求分析WBS!S44</f>
        <v>未完成</v>
      </c>
      <c r="H33" s="25"/>
      <c r="I33" s="25"/>
      <c r="J33" s="26"/>
      <c r="K33" s="26"/>
      <c r="L33" s="26"/>
      <c r="M33" s="41" t="str">
        <f>IF(P33="是",N32,"")</f>
        <v/>
      </c>
      <c r="N33" s="41" t="e">
        <f>_xlfn.WORKDAY.INTL(M33,O33,1,法定节假日!B2:B31)</f>
        <v>#VALUE!</v>
      </c>
      <c r="O33" s="26"/>
      <c r="P33" s="26"/>
      <c r="Q33" s="25"/>
      <c r="R33" s="25"/>
      <c r="S33" s="25"/>
    </row>
    <row r="34" customHeight="1" spans="1:19">
      <c r="A34" s="23" t="s">
        <v>34</v>
      </c>
      <c r="B34" s="23"/>
      <c r="C34" s="23" t="s">
        <v>101</v>
      </c>
      <c r="D34" s="35" t="s">
        <v>102</v>
      </c>
      <c r="E34" s="29" t="s">
        <v>103</v>
      </c>
      <c r="F34" s="29"/>
      <c r="G34" s="26" t="str">
        <f>IF(COUNTIF(需求分析WBS!S45:S46,"未完成")=COUNTA(需求分析WBS!S45:S46),"未完成",IF(COUNTIF(需求分析WBS!S45:S46,"已完成")=COUNTA(需求分析WBS!S45:S46),"已完成","进行中"))</f>
        <v>未完成</v>
      </c>
      <c r="H34" s="25"/>
      <c r="I34" s="25"/>
      <c r="J34" s="26"/>
      <c r="K34" s="26"/>
      <c r="L34" s="26"/>
      <c r="M34" s="41"/>
      <c r="N34" s="41">
        <f>_xlfn.WORKDAY.INTL(M34,O34,1,法定节假日!B2:B31)</f>
        <v>0</v>
      </c>
      <c r="O34" s="26"/>
      <c r="P34" s="26"/>
      <c r="Q34" s="25"/>
      <c r="R34" s="25"/>
      <c r="S34" s="25" t="s">
        <v>104</v>
      </c>
    </row>
    <row r="35" customHeight="1" spans="1:19">
      <c r="A35" s="23"/>
      <c r="B35" s="16">
        <v>2.5</v>
      </c>
      <c r="C35" s="16"/>
      <c r="D35" s="77" t="s">
        <v>105</v>
      </c>
      <c r="E35" s="21"/>
      <c r="F35" s="21"/>
      <c r="G35" s="19" t="str">
        <f>需求分析WBS!S47</f>
        <v>未完成</v>
      </c>
      <c r="H35" s="18"/>
      <c r="I35" s="18"/>
      <c r="J35" s="19"/>
      <c r="K35" s="19"/>
      <c r="L35" s="19"/>
      <c r="M35" s="39" t="str">
        <f>IF(P35="是",N34,"")</f>
        <v/>
      </c>
      <c r="N35" s="39" t="e">
        <f>_xlfn.WORKDAY.INTL(M35,O35,1,法定节假日!B2:B31)</f>
        <v>#VALUE!</v>
      </c>
      <c r="O35" s="19"/>
      <c r="P35" s="19"/>
      <c r="Q35" s="18"/>
      <c r="R35" s="18"/>
      <c r="S35" s="18"/>
    </row>
    <row r="36" customHeight="1" spans="1:19">
      <c r="A36" s="23" t="s">
        <v>34</v>
      </c>
      <c r="B36" s="23"/>
      <c r="C36" s="23" t="s">
        <v>106</v>
      </c>
      <c r="D36" s="35" t="s">
        <v>107</v>
      </c>
      <c r="E36" s="29"/>
      <c r="F36" s="29"/>
      <c r="G36" s="26" t="str">
        <f>需求分析WBS!S48</f>
        <v>未完成</v>
      </c>
      <c r="H36" s="25"/>
      <c r="I36" s="25"/>
      <c r="J36" s="26"/>
      <c r="K36" s="26"/>
      <c r="L36" s="26"/>
      <c r="M36" s="41"/>
      <c r="N36" s="41">
        <f>_xlfn.WORKDAY.INTL(M36,O36,1,法定节假日!B2:B31)</f>
        <v>0</v>
      </c>
      <c r="O36" s="26"/>
      <c r="P36" s="26"/>
      <c r="Q36" s="25"/>
      <c r="R36" s="25"/>
      <c r="S36" s="25" t="s">
        <v>108</v>
      </c>
    </row>
    <row r="37" customHeight="1" spans="1:19">
      <c r="A37" s="23" t="s">
        <v>34</v>
      </c>
      <c r="B37" s="23"/>
      <c r="C37" s="23" t="s">
        <v>109</v>
      </c>
      <c r="D37" s="35" t="s">
        <v>110</v>
      </c>
      <c r="E37" s="29"/>
      <c r="F37" s="29"/>
      <c r="G37" s="26" t="str">
        <f>需求分析WBS!S49</f>
        <v>未完成</v>
      </c>
      <c r="H37" s="25"/>
      <c r="I37" s="25"/>
      <c r="J37" s="26"/>
      <c r="K37" s="26"/>
      <c r="L37" s="26"/>
      <c r="M37" s="41" t="str">
        <f>IF(P37="是",N36,"")</f>
        <v/>
      </c>
      <c r="N37" s="41" t="e">
        <f>_xlfn.WORKDAY.INTL(M37,O37,1,法定节假日!B2:B31)</f>
        <v>#VALUE!</v>
      </c>
      <c r="O37" s="26"/>
      <c r="P37" s="26"/>
      <c r="Q37" s="25"/>
      <c r="R37" s="25"/>
      <c r="S37" s="25"/>
    </row>
    <row r="38" customHeight="1" spans="1:19">
      <c r="A38" s="23" t="s">
        <v>34</v>
      </c>
      <c r="B38" s="23"/>
      <c r="C38" s="23" t="s">
        <v>111</v>
      </c>
      <c r="D38" s="35" t="s">
        <v>112</v>
      </c>
      <c r="E38" s="29"/>
      <c r="F38" s="29"/>
      <c r="G38" s="26" t="str">
        <f>IF(COUNTIF(需求分析WBS!S50:S52,"未完成")=COUNTA(需求分析WBS!S50:S52),"未完成",IF(COUNTIF(需求分析WBS!S50:S52,"已完成")=COUNTA(需求分析WBS!S50:S52),"已完成","进行中"))</f>
        <v>未完成</v>
      </c>
      <c r="H38" s="25"/>
      <c r="I38" s="25"/>
      <c r="J38" s="26"/>
      <c r="K38" s="26"/>
      <c r="L38" s="26"/>
      <c r="M38" s="41" t="str">
        <f>IF(P38="是",N37,"")</f>
        <v/>
      </c>
      <c r="N38" s="41" t="e">
        <f>_xlfn.WORKDAY.INTL(M38,O38,1,法定节假日!B2:B31)</f>
        <v>#VALUE!</v>
      </c>
      <c r="O38" s="26"/>
      <c r="P38" s="26"/>
      <c r="Q38" s="25"/>
      <c r="R38" s="25"/>
      <c r="S38" s="25" t="s">
        <v>113</v>
      </c>
    </row>
    <row r="39" customHeight="1" spans="1:19">
      <c r="A39" s="70">
        <v>3</v>
      </c>
      <c r="B39" s="70"/>
      <c r="C39" s="70"/>
      <c r="D39" s="71" t="s">
        <v>114</v>
      </c>
      <c r="E39" s="72"/>
      <c r="F39" s="72"/>
      <c r="G39" s="73" t="str">
        <f>IF(COUNTIF(G40:G52,"未完成")=COUNTA(G40:G52),"未完成",IF(COUNTIF(G40:G52,"已完成")=COUNTA(G40:G52),"已完成","进行中"))</f>
        <v>未完成</v>
      </c>
      <c r="H39" s="74"/>
      <c r="I39" s="74"/>
      <c r="J39" s="73"/>
      <c r="K39" s="73"/>
      <c r="L39" s="73"/>
      <c r="M39" s="75"/>
      <c r="N39" s="78">
        <f>_xlfn.WORKDAY.INTL(M39,O39,1,法定节假日!B2:B31)</f>
        <v>0</v>
      </c>
      <c r="O39" s="73"/>
      <c r="P39" s="73"/>
      <c r="Q39" s="74"/>
      <c r="R39" s="74"/>
      <c r="S39" s="74"/>
    </row>
    <row r="40" customHeight="1" spans="1:19">
      <c r="A40" s="23"/>
      <c r="B40" s="16">
        <v>3.1</v>
      </c>
      <c r="C40" s="16"/>
      <c r="D40" s="77" t="s">
        <v>115</v>
      </c>
      <c r="E40" s="21"/>
      <c r="F40" s="21"/>
      <c r="G40" s="19" t="str">
        <f>系统实现WBS!S3</f>
        <v>未完成</v>
      </c>
      <c r="H40" s="18"/>
      <c r="I40" s="18"/>
      <c r="J40" s="19"/>
      <c r="K40" s="19"/>
      <c r="L40" s="19"/>
      <c r="M40" s="39"/>
      <c r="N40" s="39">
        <f>_xlfn.WORKDAY.INTL(M40,O40,1,法定节假日!B2:B31)</f>
        <v>0</v>
      </c>
      <c r="O40" s="19"/>
      <c r="P40" s="19"/>
      <c r="Q40" s="18"/>
      <c r="R40" s="18"/>
      <c r="S40" s="18"/>
    </row>
    <row r="41" customHeight="1" spans="1:19">
      <c r="A41" s="23" t="s">
        <v>34</v>
      </c>
      <c r="B41" s="23"/>
      <c r="C41" s="23" t="s">
        <v>116</v>
      </c>
      <c r="D41" s="35" t="s">
        <v>117</v>
      </c>
      <c r="E41" s="29"/>
      <c r="F41" s="29"/>
      <c r="G41" s="26" t="str">
        <f>IF(COUNTIF(系统实现WBS!S4:S6,"未完成")=COUNTA(系统实现WBS!S4:S6),"未完成",IF(COUNTIF(系统实现WBS!S4:S6,"已完成")=COUNTA(系统实现WBS!S4:S6),"已完成","进行中"))</f>
        <v>未完成</v>
      </c>
      <c r="H41" s="25"/>
      <c r="I41" s="25"/>
      <c r="J41" s="26"/>
      <c r="K41" s="26"/>
      <c r="L41" s="26"/>
      <c r="M41" s="41"/>
      <c r="N41" s="41">
        <f>_xlfn.WORKDAY.INTL(M41,O41,1,法定节假日!B2:B31)</f>
        <v>0</v>
      </c>
      <c r="O41" s="26"/>
      <c r="P41" s="26"/>
      <c r="Q41" s="25"/>
      <c r="R41" s="25"/>
      <c r="S41" s="25" t="s">
        <v>118</v>
      </c>
    </row>
    <row r="42" customHeight="1" spans="1:19">
      <c r="A42" s="23" t="s">
        <v>34</v>
      </c>
      <c r="B42" s="23"/>
      <c r="C42" s="23" t="s">
        <v>119</v>
      </c>
      <c r="D42" s="46" t="s">
        <v>120</v>
      </c>
      <c r="E42" s="29"/>
      <c r="F42" s="29"/>
      <c r="G42" s="26" t="str">
        <f>IF(COUNTIF(系统实现WBS!S7:S9,"未完成")=COUNTA(系统实现WBS!S7:S9),"未完成",IF(COUNTIF(系统实现WBS!S7:S9,"已完成")=COUNTA(系统实现WBS!S7:S9),"已完成","进行中"))</f>
        <v>未完成</v>
      </c>
      <c r="H42" s="25"/>
      <c r="I42" s="25"/>
      <c r="J42" s="26" t="s">
        <v>37</v>
      </c>
      <c r="K42" s="26" t="s">
        <v>37</v>
      </c>
      <c r="L42" s="26" t="s">
        <v>37</v>
      </c>
      <c r="M42" s="41" t="str">
        <f>IF(P42="是",N41,"")</f>
        <v/>
      </c>
      <c r="N42" s="41" t="e">
        <f>_xlfn.WORKDAY.INTL(M42,O42,1,法定节假日!B2:B31)</f>
        <v>#VALUE!</v>
      </c>
      <c r="O42" s="26"/>
      <c r="P42" s="26"/>
      <c r="Q42" s="25"/>
      <c r="R42" s="25"/>
      <c r="S42" s="25" t="s">
        <v>121</v>
      </c>
    </row>
    <row r="43" customHeight="1" spans="1:19">
      <c r="A43" s="23"/>
      <c r="B43" s="16">
        <v>3.2</v>
      </c>
      <c r="C43" s="16"/>
      <c r="D43" s="77" t="s">
        <v>122</v>
      </c>
      <c r="E43" s="21"/>
      <c r="F43" s="21"/>
      <c r="G43" s="19" t="str">
        <f>系统实现WBS!S10</f>
        <v>未完成</v>
      </c>
      <c r="H43" s="18"/>
      <c r="I43" s="18"/>
      <c r="J43" s="19"/>
      <c r="K43" s="19"/>
      <c r="L43" s="19"/>
      <c r="M43" s="39" t="str">
        <f>IF(P43="是",N42,"")</f>
        <v/>
      </c>
      <c r="N43" s="39" t="e">
        <f>_xlfn.WORKDAY.INTL(M43,O43,1,法定节假日!B2:B31)</f>
        <v>#VALUE!</v>
      </c>
      <c r="O43" s="19"/>
      <c r="P43" s="19"/>
      <c r="Q43" s="18"/>
      <c r="R43" s="18"/>
      <c r="S43" s="18"/>
    </row>
    <row r="44" customHeight="1" spans="1:19">
      <c r="A44" s="23" t="s">
        <v>34</v>
      </c>
      <c r="B44" s="23"/>
      <c r="C44" s="23" t="s">
        <v>123</v>
      </c>
      <c r="D44" s="35" t="s">
        <v>124</v>
      </c>
      <c r="E44" s="29"/>
      <c r="F44" s="29"/>
      <c r="G44" s="26" t="str">
        <f>IF(COUNTIF(系统实现WBS!S11:S13,"未完成")=COUNTA(系统实现WBS!S11:S13),"未完成",IF(COUNTIF(系统实现WBS!S11:S13,"已完成")=COUNTA(系统实现WBS!S11:S13),"已完成","进行中"))</f>
        <v>未完成</v>
      </c>
      <c r="H44" s="25"/>
      <c r="I44" s="25"/>
      <c r="J44" s="26"/>
      <c r="K44" s="26"/>
      <c r="L44" s="26"/>
      <c r="M44" s="41"/>
      <c r="N44" s="41">
        <f>_xlfn.WORKDAY.INTL(M44,O44,1,法定节假日!B2:B31)</f>
        <v>0</v>
      </c>
      <c r="O44" s="26"/>
      <c r="P44" s="26"/>
      <c r="Q44" s="25"/>
      <c r="R44" s="25"/>
      <c r="S44" s="25" t="s">
        <v>125</v>
      </c>
    </row>
    <row r="45" customHeight="1" spans="1:19">
      <c r="A45" s="23" t="s">
        <v>34</v>
      </c>
      <c r="B45" s="23"/>
      <c r="C45" s="23" t="s">
        <v>126</v>
      </c>
      <c r="D45" s="35" t="s">
        <v>127</v>
      </c>
      <c r="E45" s="29"/>
      <c r="F45" s="29"/>
      <c r="G45" s="26" t="str">
        <f>系统实现WBS!S14</f>
        <v>未完成</v>
      </c>
      <c r="H45" s="25"/>
      <c r="J45" s="26"/>
      <c r="K45" s="26"/>
      <c r="L45" s="26"/>
      <c r="M45" s="41" t="str">
        <f>IF(P45="是",N44,"")</f>
        <v/>
      </c>
      <c r="N45" s="41" t="e">
        <f>_xlfn.WORKDAY.INTL(M45,O45,1,法定节假日!B2:B31)</f>
        <v>#VALUE!</v>
      </c>
      <c r="O45" s="26"/>
      <c r="P45" s="26"/>
      <c r="Q45" s="25"/>
      <c r="R45" s="25"/>
      <c r="S45" s="25"/>
    </row>
    <row r="46" customHeight="1" spans="1:19">
      <c r="A46" s="23" t="s">
        <v>34</v>
      </c>
      <c r="B46" s="23"/>
      <c r="C46" s="23" t="s">
        <v>128</v>
      </c>
      <c r="D46" s="35" t="s">
        <v>129</v>
      </c>
      <c r="E46" s="29"/>
      <c r="F46" s="29"/>
      <c r="G46" s="26" t="str">
        <f>系统实现WBS!S15</f>
        <v>未完成</v>
      </c>
      <c r="H46" s="25"/>
      <c r="I46" s="25"/>
      <c r="J46" s="26"/>
      <c r="K46" s="26"/>
      <c r="L46" s="26"/>
      <c r="M46" s="41" t="str">
        <f>IF(P46="是",N45,"")</f>
        <v/>
      </c>
      <c r="N46" s="41" t="e">
        <f>_xlfn.WORKDAY.INTL(M46,O46,1,法定节假日!B2:B31)</f>
        <v>#VALUE!</v>
      </c>
      <c r="O46" s="26"/>
      <c r="P46" s="26"/>
      <c r="Q46" s="25"/>
      <c r="R46" s="25"/>
      <c r="S46" s="25" t="s">
        <v>130</v>
      </c>
    </row>
    <row r="47" customHeight="1" spans="1:19">
      <c r="A47" s="23" t="s">
        <v>34</v>
      </c>
      <c r="B47" s="23"/>
      <c r="C47" s="23" t="s">
        <v>131</v>
      </c>
      <c r="D47" s="37" t="s">
        <v>132</v>
      </c>
      <c r="E47" s="29"/>
      <c r="F47" s="29"/>
      <c r="G47" s="26" t="str">
        <f>IF(COUNTIF(系统实现WBS!S16:S18,"未完成")=COUNTA(系统实现WBS!S16:S18),"未完成",IF(COUNTIF(系统实现WBS!S16:S18,"已完成")=COUNTA(系统实现WBS!S16:S18),"已完成","进行中"))</f>
        <v>未完成</v>
      </c>
      <c r="H47" s="25"/>
      <c r="I47" s="25"/>
      <c r="J47" s="26"/>
      <c r="K47" s="26"/>
      <c r="L47" s="26"/>
      <c r="M47" s="41" t="str">
        <f>IF(P47="是",N46,"")</f>
        <v/>
      </c>
      <c r="N47" s="41" t="e">
        <f>_xlfn.WORKDAY.INTL(M47,O47,1,法定节假日!B2:B31)</f>
        <v>#VALUE!</v>
      </c>
      <c r="O47" s="26"/>
      <c r="P47" s="26"/>
      <c r="Q47" s="25"/>
      <c r="R47" s="25"/>
      <c r="S47" s="25" t="s">
        <v>130</v>
      </c>
    </row>
    <row r="48" customHeight="1" spans="1:19">
      <c r="A48" s="23"/>
      <c r="B48" s="16">
        <v>3.3</v>
      </c>
      <c r="C48" s="16"/>
      <c r="D48" s="77" t="s">
        <v>133</v>
      </c>
      <c r="E48" s="21"/>
      <c r="F48" s="21"/>
      <c r="G48" s="19" t="str">
        <f>系统实现WBS!S19</f>
        <v>未完成</v>
      </c>
      <c r="H48" s="18"/>
      <c r="I48" s="18"/>
      <c r="J48" s="19"/>
      <c r="K48" s="19"/>
      <c r="L48" s="19"/>
      <c r="M48" s="39" t="str">
        <f>IF(P48="是",N47,"")</f>
        <v/>
      </c>
      <c r="N48" s="39" t="e">
        <f>_xlfn.WORKDAY.INTL(M48,O48,1,法定节假日!B2:B31)</f>
        <v>#VALUE!</v>
      </c>
      <c r="O48" s="19"/>
      <c r="P48" s="19"/>
      <c r="Q48" s="18"/>
      <c r="R48" s="18"/>
      <c r="S48" s="18"/>
    </row>
    <row r="49" customHeight="1" spans="1:19">
      <c r="A49" s="23" t="s">
        <v>34</v>
      </c>
      <c r="B49" s="23"/>
      <c r="C49" s="23" t="s">
        <v>134</v>
      </c>
      <c r="D49" s="35" t="s">
        <v>67</v>
      </c>
      <c r="E49" s="29"/>
      <c r="F49" s="29"/>
      <c r="G49" s="26" t="str">
        <f>IF(COUNTIF(系统实现WBS!S20:S21,"未完成")=COUNTA(系统实现WBS!S20:S21),"未完成",IF(COUNTIF(系统实现WBS!S20:S21,"已完成")=COUNTA(系统实现WBS!S20:S21),"已完成","进行中"))</f>
        <v>未完成</v>
      </c>
      <c r="H49" s="25"/>
      <c r="I49" s="25"/>
      <c r="J49" s="26"/>
      <c r="K49" s="26"/>
      <c r="L49" s="26"/>
      <c r="M49" s="41"/>
      <c r="N49" s="41">
        <f>_xlfn.WORKDAY.INTL(M49,O49,1,法定节假日!B2:B31)</f>
        <v>0</v>
      </c>
      <c r="O49" s="26"/>
      <c r="P49" s="26"/>
      <c r="Q49" s="25"/>
      <c r="R49" s="25"/>
      <c r="S49" s="25"/>
    </row>
    <row r="50" customHeight="1" spans="1:19">
      <c r="A50" s="23" t="s">
        <v>34</v>
      </c>
      <c r="B50" s="23"/>
      <c r="C50" s="23" t="s">
        <v>135</v>
      </c>
      <c r="D50" s="35" t="s">
        <v>136</v>
      </c>
      <c r="E50" s="29"/>
      <c r="F50" s="29"/>
      <c r="G50" s="26" t="str">
        <f>IF(COUNTIF(系统实现WBS!S22:S26,"未完成")=COUNTA(系统实现WBS!S22:S26),"未完成",IF(COUNTIF(系统实现WBS!S22:S26,"已完成")=COUNTA(系统实现WBS!S22:S26),"已完成","进行中"))</f>
        <v>未完成</v>
      </c>
      <c r="H50" s="25"/>
      <c r="I50" s="25"/>
      <c r="J50" s="26"/>
      <c r="K50" s="26"/>
      <c r="L50" s="26"/>
      <c r="M50" s="41" t="str">
        <f>IF(P50="是",N49,"")</f>
        <v/>
      </c>
      <c r="N50" s="41" t="e">
        <f>_xlfn.WORKDAY.INTL(M50,O50,1,法定节假日!B2:B31)</f>
        <v>#VALUE!</v>
      </c>
      <c r="O50" s="26"/>
      <c r="P50" s="26"/>
      <c r="Q50" s="25"/>
      <c r="R50" s="25"/>
      <c r="S50" s="25" t="s">
        <v>137</v>
      </c>
    </row>
    <row r="51" customHeight="1" spans="1:19">
      <c r="A51" s="23" t="s">
        <v>34</v>
      </c>
      <c r="B51" s="23"/>
      <c r="C51" s="23" t="s">
        <v>138</v>
      </c>
      <c r="D51" s="35" t="s">
        <v>139</v>
      </c>
      <c r="E51" s="29"/>
      <c r="F51" s="29"/>
      <c r="G51" s="26" t="str">
        <f>IF(COUNTIF(系统实现WBS!S27:S31,"未完成")=COUNTA(系统实现WBS!S27:S31),"未完成",IF(COUNTIF(系统实现WBS!S27:S31,"已完成")=COUNTA(系统实现WBS!S27:S31),"已完成","进行中"))</f>
        <v>未完成</v>
      </c>
      <c r="H51" s="25"/>
      <c r="I51" s="25"/>
      <c r="J51" s="26"/>
      <c r="K51" s="26"/>
      <c r="L51" s="26"/>
      <c r="M51" s="41" t="str">
        <f>IF(P51="是",N50,"")</f>
        <v/>
      </c>
      <c r="N51" s="41" t="e">
        <f>_xlfn.WORKDAY.INTL(M51,O51,1,法定节假日!B2:B31)</f>
        <v>#VALUE!</v>
      </c>
      <c r="O51" s="26"/>
      <c r="P51" s="26"/>
      <c r="Q51" s="25"/>
      <c r="R51" s="25"/>
      <c r="S51" s="25" t="s">
        <v>130</v>
      </c>
    </row>
    <row r="52" customHeight="1" spans="1:19">
      <c r="A52" s="23" t="s">
        <v>34</v>
      </c>
      <c r="B52" s="23"/>
      <c r="C52" s="23" t="s">
        <v>140</v>
      </c>
      <c r="D52" s="35" t="s">
        <v>141</v>
      </c>
      <c r="E52" s="29"/>
      <c r="F52" s="29"/>
      <c r="G52" s="26" t="str">
        <f>系统实现WBS!S32</f>
        <v>未完成</v>
      </c>
      <c r="H52" s="25"/>
      <c r="I52" s="26" t="s">
        <v>37</v>
      </c>
      <c r="J52" s="26" t="s">
        <v>37</v>
      </c>
      <c r="K52" s="26" t="s">
        <v>37</v>
      </c>
      <c r="L52" s="26" t="s">
        <v>37</v>
      </c>
      <c r="M52" s="41" t="str">
        <f>IF(P52="是",N51,"")</f>
        <v/>
      </c>
      <c r="N52" s="41" t="e">
        <f>_xlfn.WORKDAY.INTL(M52,O52,1,法定节假日!B2:B31)</f>
        <v>#VALUE!</v>
      </c>
      <c r="O52" s="26"/>
      <c r="P52" s="26"/>
      <c r="Q52" s="25"/>
      <c r="R52" s="25"/>
      <c r="S52" s="25" t="s">
        <v>142</v>
      </c>
    </row>
    <row r="53" customHeight="1" spans="1:19">
      <c r="A53" s="23" t="s">
        <v>34</v>
      </c>
      <c r="B53" s="23"/>
      <c r="C53" s="23" t="s">
        <v>143</v>
      </c>
      <c r="D53" s="35" t="s">
        <v>144</v>
      </c>
      <c r="E53" s="29"/>
      <c r="F53" s="29"/>
      <c r="G53" s="26" t="str">
        <f>需求分析WBS!S52</f>
        <v>未完成</v>
      </c>
      <c r="H53" s="25"/>
      <c r="I53" s="26"/>
      <c r="J53" s="26" t="s">
        <v>37</v>
      </c>
      <c r="K53" s="26"/>
      <c r="L53" s="26" t="s">
        <v>37</v>
      </c>
      <c r="M53" s="41"/>
      <c r="N53" s="41">
        <f>_xlfn.WORKDAY.INTL(M53,O53,1,法定节假日!B2:B31)</f>
        <v>0</v>
      </c>
      <c r="O53" s="26"/>
      <c r="P53" s="26"/>
      <c r="Q53" s="25"/>
      <c r="R53" s="25"/>
      <c r="S53" s="25"/>
    </row>
    <row r="54" customHeight="1" spans="1:19">
      <c r="A54" s="70">
        <v>4</v>
      </c>
      <c r="B54" s="70"/>
      <c r="C54" s="70"/>
      <c r="D54" s="71" t="s">
        <v>145</v>
      </c>
      <c r="E54" s="72"/>
      <c r="F54" s="72"/>
      <c r="G54" s="73" t="str">
        <f>IF(COUNTIF(G55:G72,"未完成")=COUNTA(G55:G72),"未完成",IF(COUNTIF(G55:G72,"已完成")=COUNTA(G55:G72),"已完成","进行中"))</f>
        <v>未完成</v>
      </c>
      <c r="H54" s="74"/>
      <c r="I54" s="74"/>
      <c r="J54" s="73"/>
      <c r="K54" s="73"/>
      <c r="L54" s="73"/>
      <c r="M54" s="75"/>
      <c r="N54" s="78">
        <f>_xlfn.WORKDAY.INTL(M54,O54,1,法定节假日!B2:B31)</f>
        <v>0</v>
      </c>
      <c r="O54" s="73"/>
      <c r="P54" s="73"/>
      <c r="Q54" s="74"/>
      <c r="R54" s="74"/>
      <c r="S54" s="74"/>
    </row>
    <row r="55" customHeight="1" spans="1:19">
      <c r="A55" s="23"/>
      <c r="B55" s="16">
        <v>4.1</v>
      </c>
      <c r="C55" s="16"/>
      <c r="D55" s="77" t="s">
        <v>145</v>
      </c>
      <c r="E55" s="21"/>
      <c r="F55" s="21"/>
      <c r="G55" s="19" t="str">
        <f>UAT试运行WBS!S3</f>
        <v>未完成</v>
      </c>
      <c r="H55" s="18"/>
      <c r="I55" s="18"/>
      <c r="J55" s="19"/>
      <c r="K55" s="19"/>
      <c r="L55" s="19"/>
      <c r="M55" s="39"/>
      <c r="N55" s="39">
        <f>_xlfn.WORKDAY.INTL(M55,O55,1,法定节假日!B2:B31)</f>
        <v>0</v>
      </c>
      <c r="O55" s="19"/>
      <c r="P55" s="19"/>
      <c r="Q55" s="18"/>
      <c r="R55" s="18"/>
      <c r="S55" s="18"/>
    </row>
    <row r="56" customHeight="1" spans="1:19">
      <c r="A56" s="23" t="s">
        <v>34</v>
      </c>
      <c r="B56" s="23"/>
      <c r="C56" s="23" t="s">
        <v>146</v>
      </c>
      <c r="D56" s="35" t="s">
        <v>147</v>
      </c>
      <c r="E56" s="29"/>
      <c r="F56" s="29"/>
      <c r="G56" s="26" t="str">
        <f>UAT试运行WBS!S4</f>
        <v>未完成</v>
      </c>
      <c r="H56" s="25"/>
      <c r="I56" s="25"/>
      <c r="J56" s="26" t="s">
        <v>37</v>
      </c>
      <c r="K56" s="26" t="s">
        <v>37</v>
      </c>
      <c r="L56" s="26" t="s">
        <v>37</v>
      </c>
      <c r="M56" s="41"/>
      <c r="N56" s="41">
        <f>_xlfn.WORKDAY.INTL(M56,O56,1,法定节假日!B2:B31)</f>
        <v>0</v>
      </c>
      <c r="O56" s="26"/>
      <c r="P56" s="26"/>
      <c r="Q56" s="25"/>
      <c r="R56" s="25"/>
      <c r="S56" s="25"/>
    </row>
    <row r="57" customHeight="1" spans="1:19">
      <c r="A57" s="23" t="s">
        <v>34</v>
      </c>
      <c r="B57" s="23"/>
      <c r="C57" s="23" t="s">
        <v>103</v>
      </c>
      <c r="D57" s="35" t="s">
        <v>148</v>
      </c>
      <c r="E57" s="29"/>
      <c r="F57" s="29"/>
      <c r="G57" s="26" t="str">
        <f>IF(COUNTIF(UAT试运行WBS!S5:S8,"未完成")=COUNTA(UAT试运行WBS!S5:S8),"未完成",IF(COUNTIF(UAT试运行WBS!S5:S8,"已完成")=COUNTA(UAT试运行WBS!S5:S8),"已完成","进行中"))</f>
        <v>未完成</v>
      </c>
      <c r="H57" s="25"/>
      <c r="I57" s="25"/>
      <c r="J57" s="26"/>
      <c r="K57" s="26"/>
      <c r="L57" s="26"/>
      <c r="M57" s="41" t="str">
        <f>IF(P57="是",N56,"")</f>
        <v/>
      </c>
      <c r="N57" s="41" t="e">
        <f>_xlfn.WORKDAY.INTL(M57,O57,1,法定节假日!B2:B31)</f>
        <v>#VALUE!</v>
      </c>
      <c r="O57" s="26"/>
      <c r="P57" s="26"/>
      <c r="Q57" s="25"/>
      <c r="R57" s="25"/>
      <c r="S57" s="25" t="s">
        <v>149</v>
      </c>
    </row>
    <row r="58" customHeight="1" spans="1:19">
      <c r="A58" s="23" t="s">
        <v>34</v>
      </c>
      <c r="B58" s="23"/>
      <c r="C58" s="23" t="s">
        <v>150</v>
      </c>
      <c r="D58" s="35" t="s">
        <v>151</v>
      </c>
      <c r="E58" s="29"/>
      <c r="F58" s="29"/>
      <c r="G58" s="26" t="str">
        <f>IF(COUNTIF(UAT试运行WBS!S9:S10,"未完成")=COUNTA(UAT试运行WBS!S9:S10),"未完成",IF(COUNTIF(UAT试运行WBS!S9:S10,"已完成")=COUNTA(UAT试运行WBS!S9:S10),"已完成","进行中"))</f>
        <v>未完成</v>
      </c>
      <c r="H58" s="25"/>
      <c r="I58" s="25"/>
      <c r="J58" s="26"/>
      <c r="K58" s="26"/>
      <c r="L58" s="26"/>
      <c r="M58" s="41" t="str">
        <f>IF(P58="是",N57,"")</f>
        <v/>
      </c>
      <c r="N58" s="41" t="e">
        <f>_xlfn.WORKDAY.INTL(M58,O58,1,法定节假日!B2:B31)</f>
        <v>#VALUE!</v>
      </c>
      <c r="O58" s="26"/>
      <c r="P58" s="26"/>
      <c r="Q58" s="25"/>
      <c r="R58" s="25"/>
      <c r="S58" s="25" t="s">
        <v>152</v>
      </c>
    </row>
    <row r="59" customHeight="1" spans="1:19">
      <c r="A59" s="23" t="s">
        <v>34</v>
      </c>
      <c r="B59" s="23"/>
      <c r="C59" s="23" t="s">
        <v>153</v>
      </c>
      <c r="D59" s="35" t="s">
        <v>154</v>
      </c>
      <c r="E59" s="29"/>
      <c r="F59" s="29"/>
      <c r="G59" s="26" t="str">
        <f>UAT试运行WBS!S11</f>
        <v>未完成</v>
      </c>
      <c r="H59" s="25"/>
      <c r="I59" s="25"/>
      <c r="J59" s="26"/>
      <c r="K59" s="26" t="s">
        <v>37</v>
      </c>
      <c r="L59" s="26" t="s">
        <v>37</v>
      </c>
      <c r="M59" s="41" t="str">
        <f>IF(P59="是",N58,"")</f>
        <v/>
      </c>
      <c r="N59" s="41" t="e">
        <f>_xlfn.WORKDAY.INTL(M59,O59,1,法定节假日!B2:B31)</f>
        <v>#VALUE!</v>
      </c>
      <c r="O59" s="26"/>
      <c r="P59" s="26"/>
      <c r="Q59" s="25"/>
      <c r="R59" s="25"/>
      <c r="S59" s="25" t="s">
        <v>155</v>
      </c>
    </row>
    <row r="60" customHeight="1" spans="1:19">
      <c r="A60" s="23"/>
      <c r="B60" s="16">
        <v>4.2</v>
      </c>
      <c r="C60" s="16"/>
      <c r="D60" s="77" t="s">
        <v>156</v>
      </c>
      <c r="E60" s="21"/>
      <c r="F60" s="21"/>
      <c r="G60" s="19" t="str">
        <f>UAT试运行WBS!S12</f>
        <v>未完成</v>
      </c>
      <c r="H60" s="18"/>
      <c r="I60" s="18"/>
      <c r="J60" s="19"/>
      <c r="K60" s="19"/>
      <c r="L60" s="19"/>
      <c r="M60" s="39" t="str">
        <f>IF(P59="是",N59,"")</f>
        <v/>
      </c>
      <c r="N60" s="39" t="e">
        <f>_xlfn.WORKDAY.INTL(M60,O60,1,法定节假日!B2:B31)</f>
        <v>#VALUE!</v>
      </c>
      <c r="O60" s="19"/>
      <c r="P60" s="19"/>
      <c r="Q60" s="18"/>
      <c r="R60" s="18"/>
      <c r="S60" s="18"/>
    </row>
    <row r="61" customHeight="1" spans="1:19">
      <c r="A61" s="23" t="s">
        <v>34</v>
      </c>
      <c r="B61" s="23"/>
      <c r="C61" s="23" t="s">
        <v>157</v>
      </c>
      <c r="D61" s="35" t="s">
        <v>158</v>
      </c>
      <c r="E61" s="29"/>
      <c r="F61" s="29"/>
      <c r="G61" s="26" t="str">
        <f>IF(COUNTIF(UAT试运行WBS!S13:S14,"未完成")=COUNTA(UAT试运行WBS!S13:S14),"未完成",IF(COUNTIF(UAT试运行WBS!S13:S14,"已完成")=COUNTA(UAT试运行WBS!S13:S14),"已完成","进行中"))</f>
        <v>未完成</v>
      </c>
      <c r="H61" s="25"/>
      <c r="I61" s="25"/>
      <c r="J61" s="26"/>
      <c r="K61" s="26"/>
      <c r="L61" s="26"/>
      <c r="M61" s="41"/>
      <c r="N61" s="41">
        <f>_xlfn.WORKDAY.INTL(M61,O61,1,法定节假日!B2:B31)</f>
        <v>0</v>
      </c>
      <c r="O61" s="26"/>
      <c r="P61" s="26"/>
      <c r="Q61" s="25"/>
      <c r="R61" s="25"/>
      <c r="S61" s="25" t="s">
        <v>159</v>
      </c>
    </row>
    <row r="62" customHeight="1" spans="1:19">
      <c r="A62" s="23" t="s">
        <v>34</v>
      </c>
      <c r="B62" s="23"/>
      <c r="C62" s="23" t="s">
        <v>160</v>
      </c>
      <c r="D62" s="35" t="s">
        <v>161</v>
      </c>
      <c r="E62" s="29"/>
      <c r="F62" s="29"/>
      <c r="G62" s="26" t="str">
        <f>UAT试运行WBS!S15</f>
        <v>未完成</v>
      </c>
      <c r="H62" s="25"/>
      <c r="I62" s="25"/>
      <c r="J62" s="26" t="s">
        <v>37</v>
      </c>
      <c r="K62" s="26" t="s">
        <v>37</v>
      </c>
      <c r="L62" s="26" t="s">
        <v>37</v>
      </c>
      <c r="M62" s="41" t="str">
        <f>IF(P62="是",N61,"")</f>
        <v/>
      </c>
      <c r="N62" s="41" t="e">
        <f>_xlfn.WORKDAY.INTL(M62,O62,1,法定节假日!B2:B31)</f>
        <v>#VALUE!</v>
      </c>
      <c r="O62" s="26"/>
      <c r="P62" s="26"/>
      <c r="Q62" s="25"/>
      <c r="R62" s="25"/>
      <c r="S62" s="25" t="s">
        <v>162</v>
      </c>
    </row>
    <row r="63" customHeight="1" spans="1:19">
      <c r="A63" s="23"/>
      <c r="B63" s="16">
        <v>4.3</v>
      </c>
      <c r="C63" s="16"/>
      <c r="D63" s="77" t="s">
        <v>163</v>
      </c>
      <c r="E63" s="21"/>
      <c r="F63" s="21"/>
      <c r="G63" s="19" t="str">
        <f>UAT试运行WBS!S16</f>
        <v>未完成</v>
      </c>
      <c r="H63" s="18"/>
      <c r="I63" s="18"/>
      <c r="J63" s="19"/>
      <c r="K63" s="19"/>
      <c r="L63" s="19"/>
      <c r="M63" s="39" t="str">
        <f>IF(P63="是",N62,"")</f>
        <v/>
      </c>
      <c r="N63" s="39" t="e">
        <f>_xlfn.WORKDAY.INTL(M63,O63,1,法定节假日!B2:B31)</f>
        <v>#VALUE!</v>
      </c>
      <c r="O63" s="19"/>
      <c r="P63" s="19"/>
      <c r="Q63" s="18"/>
      <c r="R63" s="18"/>
      <c r="S63" s="18"/>
    </row>
    <row r="64" customHeight="1" spans="1:19">
      <c r="A64" s="23" t="s">
        <v>34</v>
      </c>
      <c r="B64" s="23"/>
      <c r="C64" s="23" t="s">
        <v>164</v>
      </c>
      <c r="D64" s="35" t="s">
        <v>165</v>
      </c>
      <c r="E64" s="29"/>
      <c r="F64" s="29"/>
      <c r="G64" s="26" t="str">
        <f>IF(COUNTIF(UAT试运行WBS!S17:S18,"未完成")=COUNTA(UAT试运行WBS!S17:S18),"未完成",IF(COUNTIF(UAT试运行WBS!S17:S18,"已完成")=COUNTA(UAT试运行WBS!S17:S18),"已完成","进行中"))</f>
        <v>未完成</v>
      </c>
      <c r="H64" s="25"/>
      <c r="I64" s="25"/>
      <c r="J64" s="26" t="s">
        <v>37</v>
      </c>
      <c r="K64" s="26" t="s">
        <v>37</v>
      </c>
      <c r="L64" s="26" t="s">
        <v>37</v>
      </c>
      <c r="M64" s="41"/>
      <c r="N64" s="41">
        <f>_xlfn.WORKDAY.INTL(M64,O64,1,法定节假日!B2:B31)</f>
        <v>0</v>
      </c>
      <c r="O64" s="26"/>
      <c r="P64" s="26"/>
      <c r="Q64" s="25"/>
      <c r="R64" s="25"/>
      <c r="S64" s="25" t="s">
        <v>166</v>
      </c>
    </row>
    <row r="65" customHeight="1" spans="1:19">
      <c r="A65" s="23" t="s">
        <v>34</v>
      </c>
      <c r="B65" s="23"/>
      <c r="C65" s="23" t="s">
        <v>167</v>
      </c>
      <c r="D65" s="35" t="s">
        <v>168</v>
      </c>
      <c r="E65" s="29"/>
      <c r="F65" s="29"/>
      <c r="G65" s="26" t="str">
        <f>IF(COUNTIF(UAT试运行WBS!S19:S21,"未完成")=COUNTA(UAT试运行WBS!S19:S21),"未完成",IF(COUNTIF(UAT试运行WBS!S19:S21,"已完成")=COUNTA(UAT试运行WBS!S19:S21),"已完成","进行中"))</f>
        <v>未完成</v>
      </c>
      <c r="H65" s="25"/>
      <c r="I65" s="25"/>
      <c r="J65" s="26"/>
      <c r="K65" s="26"/>
      <c r="L65" s="26"/>
      <c r="M65" s="41" t="str">
        <f>IF(P65="是",N64,"")</f>
        <v/>
      </c>
      <c r="N65" s="41" t="e">
        <f>_xlfn.WORKDAY.INTL(M65,O65,1,法定节假日!B2:B31)</f>
        <v>#VALUE!</v>
      </c>
      <c r="O65" s="26"/>
      <c r="P65" s="26"/>
      <c r="Q65" s="25"/>
      <c r="R65" s="25"/>
      <c r="S65" s="25" t="s">
        <v>130</v>
      </c>
    </row>
    <row r="66" customHeight="1" spans="1:19">
      <c r="A66" s="23" t="s">
        <v>34</v>
      </c>
      <c r="B66" s="23"/>
      <c r="C66" s="23" t="s">
        <v>169</v>
      </c>
      <c r="D66" s="35" t="s">
        <v>170</v>
      </c>
      <c r="E66" s="29"/>
      <c r="F66" s="29"/>
      <c r="G66" s="26" t="str">
        <f>IF(COUNTIF(UAT试运行WBS!S22:S28,"未完成")=COUNTA(UAT试运行WBS!S22:S28),"未完成",IF(COUNTIF(UAT试运行WBS!S22:S28,"已完成")=COUNTA(UAT试运行WBS!S22:S28),"已完成","进行中"))</f>
        <v>未完成</v>
      </c>
      <c r="H66" s="25"/>
      <c r="I66" s="25"/>
      <c r="J66" s="26"/>
      <c r="K66" s="26"/>
      <c r="L66" s="26"/>
      <c r="M66" s="41" t="str">
        <f>IF(P66="是",N65,"")</f>
        <v/>
      </c>
      <c r="N66" s="41" t="e">
        <f>_xlfn.WORKDAY.INTL(M66,O66,1,法定节假日!B2:B31)</f>
        <v>#VALUE!</v>
      </c>
      <c r="O66" s="26"/>
      <c r="P66" s="26"/>
      <c r="Q66" s="25"/>
      <c r="R66" s="25"/>
      <c r="S66" s="25" t="s">
        <v>171</v>
      </c>
    </row>
    <row r="67" customHeight="1" spans="1:19">
      <c r="A67" s="23" t="s">
        <v>34</v>
      </c>
      <c r="B67" s="23"/>
      <c r="C67" s="23" t="s">
        <v>172</v>
      </c>
      <c r="D67" s="35" t="s">
        <v>173</v>
      </c>
      <c r="E67" s="29"/>
      <c r="F67" s="29"/>
      <c r="G67" s="26" t="str">
        <f>UAT试运行WBS!S29</f>
        <v>未完成</v>
      </c>
      <c r="H67" s="25"/>
      <c r="I67" s="25"/>
      <c r="J67" s="26"/>
      <c r="K67" s="26"/>
      <c r="L67" s="26"/>
      <c r="M67" s="41" t="str">
        <f>IF(P67="是",N66,"")</f>
        <v/>
      </c>
      <c r="N67" s="41" t="e">
        <f>_xlfn.WORKDAY.INTL(M67,O67,1,法定节假日!B2:B31)</f>
        <v>#VALUE!</v>
      </c>
      <c r="O67" s="26"/>
      <c r="P67" s="26"/>
      <c r="Q67" s="25"/>
      <c r="R67" s="25"/>
      <c r="S67" s="25" t="s">
        <v>174</v>
      </c>
    </row>
    <row r="68" customHeight="1" spans="1:19">
      <c r="A68" s="23"/>
      <c r="B68" s="16">
        <v>4.4</v>
      </c>
      <c r="C68" s="16"/>
      <c r="D68" s="77" t="s">
        <v>175</v>
      </c>
      <c r="E68" s="21"/>
      <c r="F68" s="21"/>
      <c r="G68" s="19" t="str">
        <f>UAT试运行WBS!S30</f>
        <v>未完成</v>
      </c>
      <c r="H68" s="18"/>
      <c r="I68" s="18"/>
      <c r="J68" s="19"/>
      <c r="K68" s="19"/>
      <c r="L68" s="19"/>
      <c r="M68" s="39" t="str">
        <f>IF(P68="是",N67,"")</f>
        <v/>
      </c>
      <c r="N68" s="39" t="e">
        <f>_xlfn.WORKDAY.INTL(M68,O68,1,法定节假日!B2:B31)</f>
        <v>#VALUE!</v>
      </c>
      <c r="O68" s="19"/>
      <c r="P68" s="19"/>
      <c r="Q68" s="18"/>
      <c r="R68" s="18"/>
      <c r="S68" s="18"/>
    </row>
    <row r="69" customHeight="1" spans="1:19">
      <c r="A69" s="23" t="s">
        <v>34</v>
      </c>
      <c r="B69" s="23"/>
      <c r="C69" s="23" t="s">
        <v>176</v>
      </c>
      <c r="D69" s="35" t="s">
        <v>177</v>
      </c>
      <c r="E69" s="29"/>
      <c r="F69" s="29"/>
      <c r="G69" s="26" t="str">
        <f>IF(COUNTIF(UAT试运行WBS!S31:S33,"未完成")=COUNTA(UAT试运行WBS!S31:S33),"未完成",IF(COUNTIF(UAT试运行WBS!S31:S33,"已完成")=COUNTA(UAT试运行WBS!S31:S33),"已完成","进行中"))</f>
        <v>未完成</v>
      </c>
      <c r="H69" s="25"/>
      <c r="I69" s="25"/>
      <c r="J69" s="26"/>
      <c r="K69" s="26"/>
      <c r="L69" s="26"/>
      <c r="M69" s="79"/>
      <c r="N69" s="41">
        <f>_xlfn.WORKDAY.INTL(M69,O69,1,法定节假日!B2:B31)</f>
        <v>0</v>
      </c>
      <c r="O69" s="26"/>
      <c r="P69" s="26"/>
      <c r="Q69" s="25"/>
      <c r="R69" s="25"/>
      <c r="S69" s="25"/>
    </row>
    <row r="70" customHeight="1" spans="1:19">
      <c r="A70" s="23" t="s">
        <v>34</v>
      </c>
      <c r="B70" s="23"/>
      <c r="C70" s="23" t="s">
        <v>178</v>
      </c>
      <c r="D70" s="35" t="s">
        <v>179</v>
      </c>
      <c r="E70" s="29"/>
      <c r="F70" s="29"/>
      <c r="G70" s="26" t="str">
        <f>IF(COUNTIF(UAT试运行WBS!S34:S35,"未完成")=COUNTA(UAT试运行WBS!S34:S35),"未完成",IF(COUNTIF(UAT试运行WBS!S34:S35,"已完成")=COUNTA(UAT试运行WBS!S34:S35),"已完成","进行中"))</f>
        <v>未完成</v>
      </c>
      <c r="H70" s="25"/>
      <c r="I70" s="25"/>
      <c r="J70" s="26" t="s">
        <v>37</v>
      </c>
      <c r="K70" s="26" t="s">
        <v>37</v>
      </c>
      <c r="L70" s="26" t="s">
        <v>37</v>
      </c>
      <c r="M70" s="41" t="str">
        <f>IF(P70="是",N69,"")</f>
        <v/>
      </c>
      <c r="N70" s="41" t="e">
        <f>_xlfn.WORKDAY.INTL(M70,O70,1,法定节假日!B2:B31)</f>
        <v>#VALUE!</v>
      </c>
      <c r="O70" s="26"/>
      <c r="P70" s="26"/>
      <c r="Q70" s="25"/>
      <c r="R70" s="25"/>
      <c r="S70" s="25" t="s">
        <v>180</v>
      </c>
    </row>
    <row r="71" customHeight="1" spans="1:19">
      <c r="A71" s="23" t="s">
        <v>34</v>
      </c>
      <c r="B71" s="23"/>
      <c r="C71" s="23" t="s">
        <v>181</v>
      </c>
      <c r="D71" s="35" t="s">
        <v>182</v>
      </c>
      <c r="E71" s="29"/>
      <c r="F71" s="29"/>
      <c r="G71" s="26" t="str">
        <f>UAT试运行WBS!S36</f>
        <v>未完成</v>
      </c>
      <c r="H71" s="25"/>
      <c r="I71" s="25"/>
      <c r="J71" s="26"/>
      <c r="K71" s="26"/>
      <c r="L71" s="26"/>
      <c r="M71" s="41" t="str">
        <f>IF(P71="是",N70,"")</f>
        <v/>
      </c>
      <c r="N71" s="41" t="e">
        <f>_xlfn.WORKDAY.INTL(M71,O71,1,法定节假日!B2:B31)</f>
        <v>#VALUE!</v>
      </c>
      <c r="O71" s="26"/>
      <c r="P71" s="26"/>
      <c r="Q71" s="25"/>
      <c r="R71" s="25"/>
      <c r="S71" s="25" t="s">
        <v>183</v>
      </c>
    </row>
    <row r="72" customHeight="1" spans="1:19">
      <c r="A72" s="23" t="s">
        <v>34</v>
      </c>
      <c r="B72" s="23"/>
      <c r="C72" s="23" t="s">
        <v>184</v>
      </c>
      <c r="D72" s="35" t="s">
        <v>185</v>
      </c>
      <c r="E72" s="29"/>
      <c r="F72" s="29"/>
      <c r="G72" s="26" t="str">
        <f>UAT试运行WBS!S37</f>
        <v>未完成</v>
      </c>
      <c r="H72" s="25"/>
      <c r="I72" s="26" t="s">
        <v>37</v>
      </c>
      <c r="J72" s="26"/>
      <c r="K72" s="26"/>
      <c r="L72" s="26" t="s">
        <v>37</v>
      </c>
      <c r="M72" s="41" t="str">
        <f>IF(P72="是",N71,"")</f>
        <v/>
      </c>
      <c r="N72" s="41" t="e">
        <f>_xlfn.WORKDAY.INTL(M72,O72,1,法定节假日!B2:B31)</f>
        <v>#VALUE!</v>
      </c>
      <c r="O72" s="26"/>
      <c r="P72" s="26"/>
      <c r="Q72" s="25"/>
      <c r="R72" s="25"/>
      <c r="S72" s="25" t="s">
        <v>186</v>
      </c>
    </row>
    <row r="73" customHeight="1" spans="1:19">
      <c r="A73" s="80">
        <v>5</v>
      </c>
      <c r="B73" s="80"/>
      <c r="C73" s="80"/>
      <c r="D73" s="81" t="s">
        <v>187</v>
      </c>
      <c r="E73" s="72"/>
      <c r="F73" s="72"/>
      <c r="G73" s="73" t="str">
        <f>IF(COUNTIF(G74:G85,"未完成")=COUNTA(G74:G85),"未完成",IF(COUNTIF(G74:G85,"已完成")=COUNTA(G74:G85),"已完成","进行中"))</f>
        <v>未完成</v>
      </c>
      <c r="H73" s="74"/>
      <c r="I73" s="74"/>
      <c r="J73" s="73"/>
      <c r="K73" s="73"/>
      <c r="L73" s="73"/>
      <c r="M73" s="75"/>
      <c r="N73" s="78">
        <f>_xlfn.WORKDAY.INTL(M73,O73,1,法定节假日!B2:B31)</f>
        <v>0</v>
      </c>
      <c r="O73" s="73"/>
      <c r="P73" s="73"/>
      <c r="Q73" s="74"/>
      <c r="R73" s="74"/>
      <c r="S73" s="74"/>
    </row>
    <row r="74" customHeight="1" spans="1:19">
      <c r="A74" s="23"/>
      <c r="B74" s="16">
        <v>5.1</v>
      </c>
      <c r="C74" s="17"/>
      <c r="D74" s="82" t="s">
        <v>188</v>
      </c>
      <c r="E74" s="21"/>
      <c r="F74" s="21"/>
      <c r="G74" s="19" t="str">
        <f>上线运行WBS!S3</f>
        <v>未完成</v>
      </c>
      <c r="H74" s="18"/>
      <c r="I74" s="18"/>
      <c r="J74" s="19"/>
      <c r="K74" s="19"/>
      <c r="L74" s="19"/>
      <c r="M74" s="39"/>
      <c r="N74" s="39">
        <f>_xlfn.WORKDAY.INTL(M74,O74,1,法定节假日!B2:B31)</f>
        <v>0</v>
      </c>
      <c r="O74" s="19"/>
      <c r="P74" s="19"/>
      <c r="Q74" s="18"/>
      <c r="R74" s="18"/>
      <c r="S74" s="18"/>
    </row>
    <row r="75" customHeight="1" spans="1:19">
      <c r="A75" s="23" t="s">
        <v>34</v>
      </c>
      <c r="B75" s="23"/>
      <c r="C75" s="23" t="s">
        <v>189</v>
      </c>
      <c r="D75" s="83" t="s">
        <v>190</v>
      </c>
      <c r="E75" s="29"/>
      <c r="F75" s="29"/>
      <c r="G75" s="26" t="str">
        <f>上线运行WBS!S4</f>
        <v>未完成</v>
      </c>
      <c r="H75" s="25"/>
      <c r="I75" s="25"/>
      <c r="J75" s="26"/>
      <c r="K75" s="26"/>
      <c r="L75" s="26" t="s">
        <v>37</v>
      </c>
      <c r="M75" s="41"/>
      <c r="N75" s="41">
        <f>_xlfn.WORKDAY.INTL(M75,O75,1,法定节假日!B2:B31)</f>
        <v>0</v>
      </c>
      <c r="O75" s="26"/>
      <c r="P75" s="26"/>
      <c r="Q75" s="25"/>
      <c r="S75" s="25" t="s">
        <v>174</v>
      </c>
    </row>
    <row r="76" customHeight="1" spans="1:19">
      <c r="A76" s="23" t="s">
        <v>34</v>
      </c>
      <c r="B76" s="23"/>
      <c r="C76" s="23" t="s">
        <v>191</v>
      </c>
      <c r="D76" s="35" t="s">
        <v>192</v>
      </c>
      <c r="E76" s="29"/>
      <c r="F76" s="29"/>
      <c r="G76" s="26" t="str">
        <f>IF(COUNTIF(上线运行WBS!S5:S7,"未完成")=COUNTA(上线运行WBS!S5:S7),"未完成",IF(COUNTIF(上线运行WBS!S5:S7,"已完成")=COUNTA(上线运行WBS!S5:S7),"已完成","进行中"))</f>
        <v>未完成</v>
      </c>
      <c r="H76" s="25"/>
      <c r="I76" s="25"/>
      <c r="J76" s="26"/>
      <c r="K76" s="26"/>
      <c r="L76" s="26"/>
      <c r="M76" s="41" t="str">
        <f t="shared" ref="M76:M81" si="0">IF(P76="是",N75,"")</f>
        <v/>
      </c>
      <c r="N76" s="41" t="e">
        <f>_xlfn.WORKDAY.INTL(M76,O76,1,法定节假日!B2:B31)</f>
        <v>#VALUE!</v>
      </c>
      <c r="O76" s="26"/>
      <c r="P76" s="26"/>
      <c r="Q76" s="25"/>
      <c r="R76" s="25"/>
      <c r="S76" s="25" t="s">
        <v>193</v>
      </c>
    </row>
    <row r="77" customHeight="1" spans="1:19">
      <c r="A77" s="23" t="s">
        <v>34</v>
      </c>
      <c r="B77" s="23"/>
      <c r="C77" s="23" t="s">
        <v>194</v>
      </c>
      <c r="D77" s="35" t="s">
        <v>195</v>
      </c>
      <c r="E77" s="29"/>
      <c r="F77" s="29"/>
      <c r="G77" s="26" t="str">
        <f>IF(COUNTIF(上线运行WBS!S8:S11,"未完成")=COUNTA(上线运行WBS!S8:S11),"未完成",IF(COUNTIF(上线运行WBS!S8:S11,"已完成")=COUNTA(上线运行WBS!S8:S11),"已完成","进行中"))</f>
        <v>未完成</v>
      </c>
      <c r="H77" s="25"/>
      <c r="I77" s="25"/>
      <c r="J77" s="37"/>
      <c r="K77" s="26"/>
      <c r="L77" s="26"/>
      <c r="M77" s="41" t="str">
        <f t="shared" si="0"/>
        <v/>
      </c>
      <c r="N77" s="41" t="e">
        <f>_xlfn.WORKDAY.INTL(M77,O77,1,法定节假日!B2:B31)</f>
        <v>#VALUE!</v>
      </c>
      <c r="O77" s="26"/>
      <c r="P77" s="26"/>
      <c r="Q77" s="25"/>
      <c r="R77" s="25"/>
      <c r="S77" s="25" t="s">
        <v>196</v>
      </c>
    </row>
    <row r="78" customHeight="1" spans="1:19">
      <c r="A78" s="23" t="s">
        <v>34</v>
      </c>
      <c r="B78" s="23"/>
      <c r="C78" s="23" t="s">
        <v>197</v>
      </c>
      <c r="D78" s="35" t="s">
        <v>198</v>
      </c>
      <c r="E78" s="29"/>
      <c r="F78" s="29"/>
      <c r="G78" s="26" t="str">
        <f>IF(COUNTIF(上线运行WBS!S12:S13,"未完成")=COUNTA(上线运行WBS!S12:S13),"未完成",IF(COUNTIF(上线运行WBS!S12:S13,"已完成")=COUNTA(上线运行WBS!S12:S13),"已完成","进行中"))</f>
        <v>未完成</v>
      </c>
      <c r="H78" s="25"/>
      <c r="I78" s="25"/>
      <c r="J78" s="26" t="s">
        <v>37</v>
      </c>
      <c r="K78" s="26" t="s">
        <v>37</v>
      </c>
      <c r="L78" s="26" t="s">
        <v>37</v>
      </c>
      <c r="M78" s="41" t="str">
        <f t="shared" si="0"/>
        <v/>
      </c>
      <c r="N78" s="41" t="e">
        <f>_xlfn.WORKDAY.INTL(M78,O78,1,法定节假日!B2:B31)</f>
        <v>#VALUE!</v>
      </c>
      <c r="O78" s="26"/>
      <c r="P78" s="26"/>
      <c r="Q78" s="25"/>
      <c r="R78" s="25"/>
      <c r="S78" s="25" t="s">
        <v>199</v>
      </c>
    </row>
    <row r="79" customHeight="1" spans="1:19">
      <c r="A79" s="23" t="s">
        <v>34</v>
      </c>
      <c r="B79" s="23"/>
      <c r="C79" s="23" t="s">
        <v>200</v>
      </c>
      <c r="D79" s="35" t="s">
        <v>201</v>
      </c>
      <c r="E79" s="29"/>
      <c r="F79" s="29"/>
      <c r="G79" s="26" t="str">
        <f>IF(COUNTIF(上线运行WBS!S14:S16,"未完成")=COUNTA(上线运行WBS!S14:S16),"未完成",IF(COUNTIF(上线运行WBS!S14:S16,"已完成")=COUNTA(上线运行WBS!S14:S16),"已完成","进行中"))</f>
        <v>未完成</v>
      </c>
      <c r="H79" s="25"/>
      <c r="I79" s="25"/>
      <c r="J79" s="26"/>
      <c r="K79" s="26"/>
      <c r="L79" s="26" t="s">
        <v>37</v>
      </c>
      <c r="M79" s="41" t="str">
        <f t="shared" si="0"/>
        <v/>
      </c>
      <c r="N79" s="41" t="e">
        <f>_xlfn.WORKDAY.INTL(M79,O79,1,法定节假日!B2:B31)</f>
        <v>#VALUE!</v>
      </c>
      <c r="O79" s="26"/>
      <c r="P79" s="26"/>
      <c r="Q79" s="25"/>
      <c r="R79" s="25"/>
      <c r="S79" s="25" t="s">
        <v>202</v>
      </c>
    </row>
    <row r="80" customHeight="1" spans="1:19">
      <c r="A80" s="23" t="s">
        <v>34</v>
      </c>
      <c r="B80" s="23"/>
      <c r="C80" s="23" t="s">
        <v>203</v>
      </c>
      <c r="D80" s="35" t="s">
        <v>204</v>
      </c>
      <c r="E80" s="29"/>
      <c r="F80" s="29"/>
      <c r="G80" s="26" t="str">
        <f>上线运行WBS!S17</f>
        <v>未完成</v>
      </c>
      <c r="H80" s="25"/>
      <c r="I80" s="26" t="s">
        <v>37</v>
      </c>
      <c r="J80" s="26"/>
      <c r="K80" s="26"/>
      <c r="L80" s="26" t="s">
        <v>37</v>
      </c>
      <c r="M80" s="41" t="str">
        <f t="shared" si="0"/>
        <v/>
      </c>
      <c r="N80" s="41" t="e">
        <f>_xlfn.WORKDAY.INTL(M80,O80,1,法定节假日!B2:B31)</f>
        <v>#VALUE!</v>
      </c>
      <c r="O80" s="26"/>
      <c r="P80" s="26"/>
      <c r="Q80" s="25"/>
      <c r="R80" s="25"/>
      <c r="S80" s="25" t="s">
        <v>205</v>
      </c>
    </row>
    <row r="81" customHeight="1" spans="1:19">
      <c r="A81" s="23"/>
      <c r="B81" s="16">
        <v>5.2</v>
      </c>
      <c r="C81" s="17"/>
      <c r="D81" s="82" t="s">
        <v>206</v>
      </c>
      <c r="E81" s="21"/>
      <c r="F81" s="21"/>
      <c r="G81" s="19" t="str">
        <f>上线运行WBS!S18</f>
        <v>未完成</v>
      </c>
      <c r="H81" s="18"/>
      <c r="I81" s="18"/>
      <c r="J81" s="19"/>
      <c r="K81" s="19"/>
      <c r="L81" s="19"/>
      <c r="M81" s="39" t="str">
        <f t="shared" si="0"/>
        <v/>
      </c>
      <c r="N81" s="39" t="e">
        <f>_xlfn.WORKDAY.INTL(M81,O81,1,法定节假日!B2:B31)</f>
        <v>#VALUE!</v>
      </c>
      <c r="O81" s="19"/>
      <c r="P81" s="19"/>
      <c r="Q81" s="18"/>
      <c r="R81" s="18"/>
      <c r="S81" s="18"/>
    </row>
    <row r="82" customHeight="1" spans="1:19">
      <c r="A82" s="23" t="s">
        <v>34</v>
      </c>
      <c r="B82" s="23"/>
      <c r="C82" s="23" t="s">
        <v>207</v>
      </c>
      <c r="D82" s="35" t="s">
        <v>208</v>
      </c>
      <c r="E82" s="29"/>
      <c r="F82" s="29"/>
      <c r="G82" s="26" t="str">
        <f>上线运行WBS!S19</f>
        <v>未完成</v>
      </c>
      <c r="H82" s="25"/>
      <c r="I82" s="25"/>
      <c r="J82" s="26"/>
      <c r="K82" s="26"/>
      <c r="L82" s="26"/>
      <c r="M82" s="41"/>
      <c r="N82" s="41">
        <f>_xlfn.WORKDAY.INTL(M82,O82,1,法定节假日!B2:B31)</f>
        <v>0</v>
      </c>
      <c r="O82" s="26"/>
      <c r="P82" s="26"/>
      <c r="Q82" s="25"/>
      <c r="R82" s="25"/>
      <c r="S82" s="25"/>
    </row>
    <row r="83" customHeight="1" spans="1:19">
      <c r="A83" s="23" t="s">
        <v>34</v>
      </c>
      <c r="B83" s="23"/>
      <c r="C83" s="23" t="s">
        <v>209</v>
      </c>
      <c r="D83" s="35" t="s">
        <v>210</v>
      </c>
      <c r="E83" s="29"/>
      <c r="F83" s="29"/>
      <c r="G83" s="26" t="str">
        <f>IF(COUNTIF(上线运行WBS!S20:S22,"未完成")=COUNTA(上线运行WBS!S20:S22),"未完成",IF(COUNTIF(上线运行WBS!S20:S22,"已完成")=COUNTA(上线运行WBS!S20:S22),"已完成","进行中"))</f>
        <v>未完成</v>
      </c>
      <c r="H83" s="25"/>
      <c r="I83" s="25"/>
      <c r="J83" s="26"/>
      <c r="K83" s="26"/>
      <c r="L83" s="26" t="s">
        <v>37</v>
      </c>
      <c r="M83" s="41" t="str">
        <f>IF(P83="是",N82,"")</f>
        <v/>
      </c>
      <c r="N83" s="41" t="e">
        <f>_xlfn.WORKDAY.INTL(M83,O83,1,法定节假日!B2:B31)</f>
        <v>#VALUE!</v>
      </c>
      <c r="O83" s="26"/>
      <c r="P83" s="26"/>
      <c r="Q83" s="25"/>
      <c r="R83" s="25"/>
      <c r="S83" s="25" t="s">
        <v>211</v>
      </c>
    </row>
    <row r="84" customHeight="1" spans="1:19">
      <c r="A84" s="23" t="s">
        <v>34</v>
      </c>
      <c r="B84" s="23"/>
      <c r="C84" s="23" t="s">
        <v>212</v>
      </c>
      <c r="D84" s="35" t="s">
        <v>213</v>
      </c>
      <c r="E84" s="29"/>
      <c r="F84" s="29"/>
      <c r="G84" s="26" t="str">
        <f>上线运行WBS!S23</f>
        <v>未完成</v>
      </c>
      <c r="H84" s="25"/>
      <c r="I84" s="25"/>
      <c r="J84" s="26"/>
      <c r="K84" s="26"/>
      <c r="L84" s="26"/>
      <c r="M84" s="41" t="str">
        <f>IF(P84="是",N83,"")</f>
        <v/>
      </c>
      <c r="N84" s="41" t="e">
        <f>_xlfn.WORKDAY.INTL(M84,O84,1,法定节假日!B2:B31)</f>
        <v>#VALUE!</v>
      </c>
      <c r="O84" s="26"/>
      <c r="P84" s="26"/>
      <c r="Q84" s="25"/>
      <c r="R84" s="25"/>
      <c r="S84" s="25"/>
    </row>
    <row r="85" customHeight="1" spans="1:19">
      <c r="A85" s="23" t="s">
        <v>34</v>
      </c>
      <c r="B85" s="23"/>
      <c r="C85" s="23" t="s">
        <v>214</v>
      </c>
      <c r="D85" s="35" t="s">
        <v>215</v>
      </c>
      <c r="E85" s="29"/>
      <c r="F85" s="29"/>
      <c r="G85" s="26" t="str">
        <f>IF(COUNTIF(上线运行WBS!S24:S25,"未完成")=COUNTA(上线运行WBS!S24:S25),"未完成",IF(COUNTIF(上线运行WBS!S24:S25,"已完成")=COUNTA(上线运行WBS!S24:S25),"已完成","进行中"))</f>
        <v>未完成</v>
      </c>
      <c r="H85" s="25"/>
      <c r="I85" s="25"/>
      <c r="J85" s="26"/>
      <c r="K85" s="26"/>
      <c r="L85" s="26" t="s">
        <v>37</v>
      </c>
      <c r="M85" s="41" t="str">
        <f>IF(P85="是",N84,"")</f>
        <v/>
      </c>
      <c r="N85" s="41" t="e">
        <f>_xlfn.WORKDAY.INTL(M85,O85,1,法定节假日!B2:B31)</f>
        <v>#VALUE!</v>
      </c>
      <c r="O85" s="26"/>
      <c r="P85" s="26"/>
      <c r="Q85" s="25"/>
      <c r="R85" s="25"/>
      <c r="S85" s="25"/>
    </row>
    <row r="86" customHeight="1" spans="1:19">
      <c r="D86" s="84"/>
    </row>
  </sheetData>
  <mergeCells count="15">
    <mergeCell ref="G1:H1"/>
    <mergeCell ref="M1:N1"/>
    <mergeCell ref="Q1:R1"/>
    <mergeCell ref="A1:A2"/>
    <mergeCell ref="B1:B2"/>
    <mergeCell ref="C1:C2"/>
    <mergeCell ref="D1:D2"/>
    <mergeCell ref="E1:E2"/>
    <mergeCell ref="F1:F2"/>
    <mergeCell ref="I1:I2"/>
    <mergeCell ref="J1:J2"/>
    <mergeCell ref="K1:K2"/>
    <mergeCell ref="L1:L2"/>
    <mergeCell ref="P1:P2"/>
    <mergeCell ref="S1:S2"/>
  </mergeCells>
  <dataValidations count="1">
    <dataValidation type="list" allowBlank="1" showInputMessage="1" showErrorMessage="1" sqref="P3:P85">
      <formula1>"是"</formula1>
    </dataValidation>
  </dataValidations>
  <pageMargins left="0.7" right="0.7" top="0.75" bottom="0.75" header="0.3" footer="0.3"/>
  <headerFoot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U24"/>
  <sheetViews>
    <sheetView workbookViewId="0">
      <selection activeCell="A1" sqref="A1:A2"/>
    </sheetView>
  </sheetViews>
  <sheetFormatPr defaultColWidth="8.83333333333333" defaultRowHeight="14" customHeight="1"/>
  <cols>
    <col min="1" max="1" width="8.16666666666667" style="1" customWidth="1"/>
    <col min="2" max="2" width="8.83333333333333" style="1" customWidth="1"/>
    <col min="3" max="3" width="17.8333333333333" style="1" customWidth="1"/>
    <col min="4" max="4" width="23" style="1" customWidth="1"/>
    <col min="5" max="5" width="14.8333333333333" style="1" customWidth="1"/>
    <col min="6" max="6" width="7.16666666666667" style="1" customWidth="1"/>
    <col min="7" max="7" width="5.83333333333333" style="1" customWidth="1"/>
    <col min="8" max="8" width="6.5" style="1" customWidth="1"/>
    <col min="9" max="9" width="6.16666666666667" style="1" customWidth="1"/>
    <col min="10" max="11" width="12" style="1" customWidth="1"/>
    <col min="12" max="12" width="9.83333333333333" style="1" customWidth="1"/>
    <col min="13" max="13" width="12.5" style="1" customWidth="1"/>
    <col min="14" max="16" width="12" style="1" customWidth="1"/>
    <col min="18" max="18" width="12.8333333333333" style="1" customWidth="1"/>
    <col min="19" max="19" width="9.16666666666667" style="2" customWidth="1"/>
    <col min="20" max="20" width="11.1666666666667" style="1" customWidth="1"/>
    <col min="21" max="21" width="13.3333333333333" style="1" customWidth="1"/>
  </cols>
  <sheetData>
    <row r="1" ht="23.4" customHeight="1" spans="1:21">
      <c r="A1" s="7" t="s">
        <v>11</v>
      </c>
      <c r="B1" s="7" t="s">
        <v>12</v>
      </c>
      <c r="C1" s="8" t="s">
        <v>13</v>
      </c>
      <c r="D1" s="9" t="s">
        <v>216</v>
      </c>
      <c r="E1" s="9" t="s">
        <v>217</v>
      </c>
      <c r="F1" s="8" t="s">
        <v>6</v>
      </c>
      <c r="G1" s="7" t="s">
        <v>17</v>
      </c>
      <c r="H1" s="7" t="s">
        <v>18</v>
      </c>
      <c r="I1" s="55" t="s">
        <v>19</v>
      </c>
      <c r="J1" s="11" t="s">
        <v>20</v>
      </c>
      <c r="K1" s="56"/>
      <c r="L1" s="10" t="s">
        <v>21</v>
      </c>
      <c r="M1" s="12" t="s">
        <v>22</v>
      </c>
      <c r="N1" s="11" t="s">
        <v>218</v>
      </c>
      <c r="O1" s="13"/>
      <c r="P1" s="13" t="s">
        <v>21</v>
      </c>
      <c r="Q1" s="10" t="s">
        <v>23</v>
      </c>
      <c r="R1" s="10"/>
      <c r="S1" s="10" t="s">
        <v>16</v>
      </c>
      <c r="T1" s="10"/>
      <c r="U1" s="12" t="s">
        <v>219</v>
      </c>
    </row>
    <row r="2" ht="23.4" customHeight="1" spans="1:21">
      <c r="A2" s="7"/>
      <c r="B2" s="7"/>
      <c r="C2" s="8"/>
      <c r="D2" s="14"/>
      <c r="E2" s="14"/>
      <c r="F2" s="8"/>
      <c r="G2" s="8"/>
      <c r="H2" s="8"/>
      <c r="I2" s="57"/>
      <c r="J2" s="10" t="s">
        <v>27</v>
      </c>
      <c r="K2" s="10" t="s">
        <v>28</v>
      </c>
      <c r="L2" s="10" t="s">
        <v>29</v>
      </c>
      <c r="M2" s="15"/>
      <c r="N2" s="10" t="s">
        <v>220</v>
      </c>
      <c r="O2" s="10" t="s">
        <v>221</v>
      </c>
      <c r="P2" s="10" t="s">
        <v>222</v>
      </c>
      <c r="Q2" s="10" t="s">
        <v>30</v>
      </c>
      <c r="R2" s="10" t="s">
        <v>31</v>
      </c>
      <c r="S2" s="10" t="s">
        <v>25</v>
      </c>
      <c r="T2" s="10" t="s">
        <v>26</v>
      </c>
      <c r="U2" s="15"/>
    </row>
    <row r="3" customHeight="1" spans="1:21">
      <c r="A3" s="16">
        <v>1.1</v>
      </c>
      <c r="B3" s="16"/>
      <c r="C3" s="18" t="s">
        <v>33</v>
      </c>
      <c r="D3" s="18"/>
      <c r="E3" s="18"/>
      <c r="F3" s="18"/>
      <c r="G3" s="19"/>
      <c r="H3" s="19"/>
      <c r="I3" s="18"/>
      <c r="J3" s="39">
        <f>主计划!M4</f>
        <v>45172</v>
      </c>
      <c r="K3" s="39">
        <f>主计划!N4</f>
        <v>45177</v>
      </c>
      <c r="L3" s="19">
        <f>主计划!O4</f>
        <v>5</v>
      </c>
      <c r="M3" s="19"/>
      <c r="N3" s="58">
        <f>MIN(N4:N11)</f>
        <v>0</v>
      </c>
      <c r="O3" s="58">
        <f>MAX(O4:O11)</f>
        <v>0</v>
      </c>
      <c r="P3" s="19">
        <f t="shared" ref="P3:P24" si="0">NETWORKDAYS(N3,O3)</f>
        <v>0</v>
      </c>
      <c r="Q3" s="18"/>
      <c r="R3" s="18"/>
      <c r="S3" s="19" t="str">
        <f>IF(COUNTIF(S4:S11,"未完成")=COUNTA(S4:S11),"未完成",IF(COUNTIF(S4:S11,"已完成")=COUNTA(S4:S11),"已完成","进行中"))</f>
        <v>未完成</v>
      </c>
      <c r="T3" s="18"/>
      <c r="U3" s="18"/>
    </row>
    <row r="4" customHeight="1" spans="1:21">
      <c r="A4" s="23"/>
      <c r="B4" s="30" t="s">
        <v>35</v>
      </c>
      <c r="C4" s="30" t="s">
        <v>223</v>
      </c>
      <c r="D4" s="25" t="s">
        <v>224</v>
      </c>
      <c r="E4" s="25"/>
      <c r="F4" s="25"/>
      <c r="G4" s="26"/>
      <c r="H4" s="26"/>
      <c r="I4" s="25"/>
      <c r="J4" s="41">
        <v>45172</v>
      </c>
      <c r="K4" s="41">
        <f>_xlfn.WORKDAY.INTL(J4,L4,1,法定节假日!B2:B31)</f>
        <v>45172</v>
      </c>
      <c r="L4" s="26"/>
      <c r="M4" s="26"/>
      <c r="N4" s="41"/>
      <c r="O4" s="41"/>
      <c r="P4" s="26">
        <f t="shared" si="0"/>
        <v>0</v>
      </c>
      <c r="Q4" s="25"/>
      <c r="R4" s="25"/>
      <c r="S4" s="26" t="s">
        <v>225</v>
      </c>
      <c r="T4" s="25"/>
      <c r="U4" s="25"/>
    </row>
    <row r="5" customHeight="1" spans="1:21">
      <c r="A5" s="23"/>
      <c r="B5" s="31"/>
      <c r="C5" s="31"/>
      <c r="D5" s="24" t="s">
        <v>226</v>
      </c>
      <c r="E5" s="24"/>
      <c r="F5" s="25"/>
      <c r="G5" s="26"/>
      <c r="H5" s="26"/>
      <c r="I5" s="34" t="s">
        <v>37</v>
      </c>
      <c r="J5" s="41" t="str">
        <f t="shared" ref="J5:J11" si="1">IF(M5="是",K4,"")</f>
        <v/>
      </c>
      <c r="K5" s="41" t="e">
        <f>_xlfn.WORKDAY.INTL(J5,L5,1,法定节假日!B2:B31)</f>
        <v>#VALUE!</v>
      </c>
      <c r="L5" s="26"/>
      <c r="M5" s="26"/>
      <c r="N5" s="41"/>
      <c r="O5" s="41"/>
      <c r="P5" s="26">
        <f t="shared" si="0"/>
        <v>0</v>
      </c>
      <c r="Q5" s="25"/>
      <c r="R5" s="25"/>
      <c r="S5" s="26" t="s">
        <v>225</v>
      </c>
      <c r="T5" s="25"/>
      <c r="U5" s="25"/>
    </row>
    <row r="6" customHeight="1" spans="1:21">
      <c r="A6" s="23"/>
      <c r="B6" s="31"/>
      <c r="C6" s="31"/>
      <c r="D6" s="24" t="s">
        <v>227</v>
      </c>
      <c r="E6" s="24"/>
      <c r="F6" s="25"/>
      <c r="G6" s="26"/>
      <c r="H6" s="26"/>
      <c r="I6" s="26" t="s">
        <v>37</v>
      </c>
      <c r="J6" s="41" t="str">
        <f t="shared" si="1"/>
        <v/>
      </c>
      <c r="K6" s="41" t="e">
        <f>_xlfn.WORKDAY.INTL(J6,L6,1,法定节假日!B2:B31)</f>
        <v>#VALUE!</v>
      </c>
      <c r="L6" s="26"/>
      <c r="M6" s="26"/>
      <c r="N6" s="41"/>
      <c r="O6" s="59"/>
      <c r="P6" s="26">
        <f t="shared" si="0"/>
        <v>0</v>
      </c>
      <c r="Q6" s="25"/>
      <c r="R6" s="25"/>
      <c r="S6" s="26" t="s">
        <v>225</v>
      </c>
      <c r="T6" s="25"/>
      <c r="U6" s="25"/>
    </row>
    <row r="7" customHeight="1" spans="1:21">
      <c r="A7" s="23"/>
      <c r="B7" s="31"/>
      <c r="C7" s="31"/>
      <c r="D7" s="24" t="s">
        <v>228</v>
      </c>
      <c r="E7" s="24"/>
      <c r="F7" s="25"/>
      <c r="G7" s="25"/>
      <c r="H7" s="25"/>
      <c r="I7" s="25"/>
      <c r="J7" s="41" t="str">
        <f t="shared" si="1"/>
        <v/>
      </c>
      <c r="K7" s="41" t="e">
        <f>_xlfn.WORKDAY.INTL(J7,L7,1,法定节假日!B2:B31)</f>
        <v>#VALUE!</v>
      </c>
      <c r="L7" s="26"/>
      <c r="M7" s="26"/>
      <c r="N7" s="41"/>
      <c r="O7" s="41"/>
      <c r="P7" s="26">
        <f t="shared" si="0"/>
        <v>0</v>
      </c>
      <c r="Q7" s="25"/>
      <c r="R7" s="25"/>
      <c r="S7" s="26" t="s">
        <v>225</v>
      </c>
      <c r="T7" s="25"/>
      <c r="U7" s="25"/>
    </row>
    <row r="8" customHeight="1" spans="1:21">
      <c r="A8" s="23"/>
      <c r="B8" s="31"/>
      <c r="C8" s="31"/>
      <c r="D8" s="24" t="s">
        <v>229</v>
      </c>
      <c r="E8" s="24"/>
      <c r="F8" s="25"/>
      <c r="G8" s="26" t="s">
        <v>37</v>
      </c>
      <c r="H8" s="26"/>
      <c r="I8" s="26" t="s">
        <v>37</v>
      </c>
      <c r="J8" s="41" t="str">
        <f t="shared" si="1"/>
        <v/>
      </c>
      <c r="K8" s="41" t="e">
        <f>_xlfn.WORKDAY.INTL(J8,L8,1,法定节假日!B2:B31)</f>
        <v>#VALUE!</v>
      </c>
      <c r="L8" s="26"/>
      <c r="M8" s="26"/>
      <c r="N8" s="41"/>
      <c r="O8" s="41"/>
      <c r="P8" s="26">
        <f t="shared" si="0"/>
        <v>0</v>
      </c>
      <c r="Q8" s="25"/>
      <c r="R8" s="25"/>
      <c r="S8" s="26" t="s">
        <v>225</v>
      </c>
      <c r="T8" s="25"/>
      <c r="U8" s="25"/>
    </row>
    <row r="9" ht="16.5" customHeight="1" spans="1:21">
      <c r="A9" s="23"/>
      <c r="B9" s="32"/>
      <c r="C9" s="32"/>
      <c r="D9" s="24" t="s">
        <v>230</v>
      </c>
      <c r="E9" s="24"/>
      <c r="F9" s="60"/>
      <c r="G9" s="26"/>
      <c r="H9" s="26"/>
      <c r="I9" s="26" t="s">
        <v>37</v>
      </c>
      <c r="J9" s="41" t="str">
        <f t="shared" si="1"/>
        <v/>
      </c>
      <c r="K9" s="41" t="e">
        <f>_xlfn.WORKDAY.INTL(J9,L9,1,法定节假日!B2:B31)</f>
        <v>#VALUE!</v>
      </c>
      <c r="L9" s="61"/>
      <c r="M9" s="61"/>
      <c r="N9" s="62"/>
      <c r="O9" s="62"/>
      <c r="P9" s="26">
        <f t="shared" si="0"/>
        <v>0</v>
      </c>
      <c r="Q9" s="25"/>
      <c r="R9" s="25"/>
      <c r="S9" s="26" t="s">
        <v>225</v>
      </c>
      <c r="T9" s="25"/>
      <c r="U9" s="25"/>
    </row>
    <row r="10" ht="16.5" customHeight="1" spans="1:21">
      <c r="A10" s="23"/>
      <c r="B10" s="30" t="s">
        <v>38</v>
      </c>
      <c r="C10" s="30" t="s">
        <v>39</v>
      </c>
      <c r="D10" s="24" t="s">
        <v>231</v>
      </c>
      <c r="E10" s="24"/>
      <c r="F10" s="60"/>
      <c r="G10" s="26"/>
      <c r="H10" s="26"/>
      <c r="I10" s="26" t="s">
        <v>37</v>
      </c>
      <c r="J10" s="41" t="str">
        <f t="shared" si="1"/>
        <v/>
      </c>
      <c r="K10" s="41" t="e">
        <f>_xlfn.WORKDAY.INTL(J10,L10,1,法定节假日!B2:B31)</f>
        <v>#VALUE!</v>
      </c>
      <c r="L10" s="61"/>
      <c r="M10" s="61"/>
      <c r="N10" s="62"/>
      <c r="O10" s="62"/>
      <c r="P10" s="26">
        <f t="shared" si="0"/>
        <v>0</v>
      </c>
      <c r="Q10" s="25"/>
      <c r="R10" s="25"/>
      <c r="S10" s="26" t="s">
        <v>225</v>
      </c>
      <c r="T10" s="25"/>
      <c r="U10" s="25"/>
    </row>
    <row r="11" customHeight="1" spans="1:21">
      <c r="A11" s="23"/>
      <c r="B11" s="32"/>
      <c r="C11" s="32"/>
      <c r="D11" s="24" t="s">
        <v>232</v>
      </c>
      <c r="E11" s="63"/>
      <c r="F11" s="25"/>
      <c r="G11" s="26" t="s">
        <v>37</v>
      </c>
      <c r="H11" s="26"/>
      <c r="I11" s="26" t="s">
        <v>37</v>
      </c>
      <c r="J11" s="41" t="str">
        <f t="shared" si="1"/>
        <v/>
      </c>
      <c r="K11" s="41" t="e">
        <f>_xlfn.WORKDAY.INTL(J11,L11,1,法定节假日!B2:B31)</f>
        <v>#VALUE!</v>
      </c>
      <c r="L11" s="26"/>
      <c r="M11" s="26"/>
      <c r="N11" s="41"/>
      <c r="O11" s="41"/>
      <c r="P11" s="26">
        <f t="shared" si="0"/>
        <v>0</v>
      </c>
      <c r="Q11" s="25"/>
      <c r="R11" s="25"/>
      <c r="S11" s="26" t="s">
        <v>225</v>
      </c>
      <c r="T11" s="25"/>
      <c r="U11" s="25"/>
    </row>
    <row r="12" customHeight="1" spans="1:21">
      <c r="A12" s="16">
        <v>1.2</v>
      </c>
      <c r="B12" s="16"/>
      <c r="C12" s="18" t="s">
        <v>41</v>
      </c>
      <c r="D12" s="18"/>
      <c r="E12" s="18"/>
      <c r="F12" s="18"/>
      <c r="G12" s="19"/>
      <c r="H12" s="19"/>
      <c r="I12" s="18"/>
      <c r="J12" s="39">
        <f>主计划!M7</f>
        <v>45180</v>
      </c>
      <c r="K12" s="39">
        <f>主计划!N7</f>
        <v>45189</v>
      </c>
      <c r="L12" s="19">
        <f>主计划!O7</f>
        <v>7</v>
      </c>
      <c r="M12" s="19"/>
      <c r="N12" s="58">
        <f>MIN(N13:N17)</f>
        <v>0</v>
      </c>
      <c r="O12" s="58">
        <f>MAX(O13:O17)</f>
        <v>0</v>
      </c>
      <c r="P12" s="19">
        <f t="shared" si="0"/>
        <v>0</v>
      </c>
      <c r="Q12" s="18"/>
      <c r="R12" s="18"/>
      <c r="S12" s="19" t="str">
        <f>IF(COUNTIF(S13:S17,"未完成")=COUNTA(S13:S17),"未完成",IF(COUNTIF(S13:S17,"已完成")=COUNTA(S13:S17),"已完成","进行中"))</f>
        <v>未完成</v>
      </c>
      <c r="T12" s="18"/>
      <c r="U12" s="18"/>
    </row>
    <row r="13" ht="16.5" customHeight="1" spans="1:21">
      <c r="A13" s="23"/>
      <c r="B13" s="28" t="s">
        <v>42</v>
      </c>
      <c r="C13" s="24" t="s">
        <v>43</v>
      </c>
      <c r="D13" s="24" t="s">
        <v>43</v>
      </c>
      <c r="E13" s="24"/>
      <c r="F13" s="25"/>
      <c r="G13" s="26"/>
      <c r="H13" s="26"/>
      <c r="I13" s="26"/>
      <c r="J13" s="62">
        <f>主计划!M8</f>
        <v>45178</v>
      </c>
      <c r="K13" s="62">
        <f>主计划!N8</f>
        <v>45181</v>
      </c>
      <c r="L13" s="61"/>
      <c r="M13" s="61"/>
      <c r="N13" s="62"/>
      <c r="O13" s="62"/>
      <c r="P13" s="26">
        <f t="shared" si="0"/>
        <v>0</v>
      </c>
      <c r="Q13" s="25"/>
      <c r="R13" s="25"/>
      <c r="S13" s="26" t="s">
        <v>225</v>
      </c>
      <c r="T13" s="25"/>
      <c r="U13" s="25"/>
    </row>
    <row r="14" ht="16.5" customHeight="1" spans="1:21">
      <c r="A14" s="23"/>
      <c r="B14" s="28" t="s">
        <v>44</v>
      </c>
      <c r="C14" s="30" t="s">
        <v>45</v>
      </c>
      <c r="D14" s="24" t="s">
        <v>233</v>
      </c>
      <c r="E14" s="24"/>
      <c r="F14" s="25"/>
      <c r="G14" s="26"/>
      <c r="H14" s="26"/>
      <c r="I14" s="26"/>
      <c r="J14" s="62" t="str">
        <f>IF(M14="是",K13,"")</f>
        <v/>
      </c>
      <c r="K14" s="62" t="e">
        <f>_xlfn.WORKDAY.INTL(J14,L14,1,法定节假日!B2:B31)</f>
        <v>#VALUE!</v>
      </c>
      <c r="L14" s="61"/>
      <c r="M14" s="61"/>
      <c r="N14" s="62"/>
      <c r="O14" s="62"/>
      <c r="P14" s="26">
        <f t="shared" si="0"/>
        <v>0</v>
      </c>
      <c r="Q14" s="25"/>
      <c r="R14" s="25"/>
      <c r="S14" s="26" t="s">
        <v>225</v>
      </c>
      <c r="T14" s="25"/>
      <c r="U14" s="25"/>
    </row>
    <row r="15" ht="16.5" customHeight="1" spans="1:21">
      <c r="A15" s="23"/>
      <c r="B15" s="28"/>
      <c r="C15" s="32"/>
      <c r="D15" s="24" t="s">
        <v>234</v>
      </c>
      <c r="E15" s="24"/>
      <c r="F15" s="25"/>
      <c r="G15" s="26" t="s">
        <v>37</v>
      </c>
      <c r="H15" s="26"/>
      <c r="I15" s="26" t="s">
        <v>37</v>
      </c>
      <c r="J15" s="62" t="str">
        <f>IF(M15="是",K14,"")</f>
        <v/>
      </c>
      <c r="K15" s="62" t="e">
        <f>_xlfn.WORKDAY.INTL(J15,L15,1,法定节假日!B2:B31)</f>
        <v>#VALUE!</v>
      </c>
      <c r="L15" s="61"/>
      <c r="M15" s="61"/>
      <c r="N15" s="62"/>
      <c r="O15" s="62"/>
      <c r="P15" s="26">
        <f t="shared" si="0"/>
        <v>0</v>
      </c>
      <c r="Q15" s="25"/>
      <c r="R15" s="25"/>
      <c r="S15" s="26" t="s">
        <v>225</v>
      </c>
      <c r="T15" s="25"/>
      <c r="U15" s="25"/>
    </row>
    <row r="16" ht="16.5" customHeight="1" spans="1:21">
      <c r="A16" s="23"/>
      <c r="B16" s="28" t="s">
        <v>47</v>
      </c>
      <c r="C16" s="30" t="s">
        <v>48</v>
      </c>
      <c r="D16" s="24" t="s">
        <v>48</v>
      </c>
      <c r="E16" s="24"/>
      <c r="F16" s="25"/>
      <c r="G16" s="26"/>
      <c r="H16" s="26"/>
      <c r="I16" s="26"/>
      <c r="J16" s="62" t="str">
        <f>IF(M16="是",K15,"")</f>
        <v/>
      </c>
      <c r="K16" s="62" t="e">
        <f>_xlfn.WORKDAY.INTL(J16,L16,1,法定节假日!B2:B31)</f>
        <v>#VALUE!</v>
      </c>
      <c r="L16" s="61"/>
      <c r="M16" s="61"/>
      <c r="N16" s="62"/>
      <c r="O16" s="62"/>
      <c r="P16" s="26">
        <f t="shared" si="0"/>
        <v>0</v>
      </c>
      <c r="Q16" s="25"/>
      <c r="R16" s="25"/>
      <c r="S16" s="26" t="s">
        <v>225</v>
      </c>
      <c r="T16" s="25"/>
      <c r="U16" s="25"/>
    </row>
    <row r="17" ht="16.5" customHeight="1" spans="1:21">
      <c r="A17" s="23"/>
      <c r="B17" s="28"/>
      <c r="C17" s="32"/>
      <c r="D17" s="24" t="s">
        <v>234</v>
      </c>
      <c r="E17" s="24"/>
      <c r="F17" s="25"/>
      <c r="G17" s="26" t="s">
        <v>37</v>
      </c>
      <c r="H17" s="26"/>
      <c r="I17" s="26" t="s">
        <v>37</v>
      </c>
      <c r="J17" s="62" t="str">
        <f>IF(M17="是",K16,"")</f>
        <v/>
      </c>
      <c r="K17" s="62" t="e">
        <f>_xlfn.WORKDAY.INTL(J17,L17,1,法定节假日!B2:B31)</f>
        <v>#VALUE!</v>
      </c>
      <c r="L17" s="61"/>
      <c r="M17" s="61"/>
      <c r="N17" s="62"/>
      <c r="O17" s="62"/>
      <c r="P17" s="26">
        <f t="shared" si="0"/>
        <v>0</v>
      </c>
      <c r="Q17" s="25"/>
      <c r="R17" s="25"/>
      <c r="S17" s="26" t="s">
        <v>225</v>
      </c>
      <c r="T17" s="25"/>
      <c r="U17" s="25"/>
    </row>
    <row r="18" customHeight="1" spans="1:21">
      <c r="A18" s="16">
        <v>1.3</v>
      </c>
      <c r="B18" s="16"/>
      <c r="C18" s="18" t="s">
        <v>50</v>
      </c>
      <c r="D18" s="18"/>
      <c r="E18" s="18"/>
      <c r="F18" s="18"/>
      <c r="G18" s="19"/>
      <c r="H18" s="19"/>
      <c r="I18" s="18"/>
      <c r="J18" s="39">
        <f>主计划!M11</f>
        <v>45174</v>
      </c>
      <c r="K18" s="39">
        <f>主计划!N11</f>
        <v>45177</v>
      </c>
      <c r="L18" s="19">
        <f>主计划!O11</f>
        <v>3</v>
      </c>
      <c r="M18" s="19"/>
      <c r="N18" s="58">
        <f>MIN(N19:N24)</f>
        <v>0</v>
      </c>
      <c r="O18" s="58">
        <f>MAX(O19:O24)</f>
        <v>0</v>
      </c>
      <c r="P18" s="19">
        <f t="shared" si="0"/>
        <v>0</v>
      </c>
      <c r="Q18" s="18"/>
      <c r="R18" s="18"/>
      <c r="S18" s="19" t="str">
        <f>IF(COUNTIF(S19:S24,"未完成")=COUNTA(S19:S24),"未完成",IF(COUNTIF(S19:S24,"已完成")=COUNTA(S19:S24),"已完成","进行中"))</f>
        <v>未完成</v>
      </c>
      <c r="T18" s="18"/>
      <c r="U18" s="18"/>
    </row>
    <row r="19" customHeight="1" spans="1:21">
      <c r="A19" s="23"/>
      <c r="B19" s="64" t="s">
        <v>51</v>
      </c>
      <c r="C19" s="30" t="s">
        <v>52</v>
      </c>
      <c r="D19" s="49" t="s">
        <v>235</v>
      </c>
      <c r="E19" s="24"/>
      <c r="F19" s="25"/>
      <c r="G19" s="26"/>
      <c r="H19" s="26" t="s">
        <v>37</v>
      </c>
      <c r="I19" s="26"/>
      <c r="J19" s="41">
        <f>主计划!M12</f>
        <v>45174</v>
      </c>
      <c r="K19" s="41">
        <f>主计划!N12</f>
        <v>45182</v>
      </c>
      <c r="L19" s="26"/>
      <c r="M19" s="26"/>
      <c r="N19" s="41"/>
      <c r="O19" s="41"/>
      <c r="P19" s="26">
        <f t="shared" si="0"/>
        <v>0</v>
      </c>
      <c r="Q19" s="25"/>
      <c r="R19" s="25"/>
      <c r="S19" s="26" t="s">
        <v>225</v>
      </c>
      <c r="T19" s="25"/>
      <c r="U19" s="25"/>
    </row>
    <row r="20" ht="16.5" customHeight="1" spans="1:21">
      <c r="A20" s="23"/>
      <c r="B20" s="64" t="s">
        <v>54</v>
      </c>
      <c r="C20" s="30" t="s">
        <v>55</v>
      </c>
      <c r="D20" s="24" t="s">
        <v>236</v>
      </c>
      <c r="E20" s="24"/>
      <c r="F20" s="25"/>
      <c r="G20" s="26"/>
      <c r="H20" s="26"/>
      <c r="I20" s="25"/>
      <c r="J20" s="62">
        <f>主计划!M13</f>
        <v>45182</v>
      </c>
      <c r="K20" s="41">
        <f>主计划!N13</f>
        <v>45189</v>
      </c>
      <c r="L20" s="61"/>
      <c r="M20" s="61"/>
      <c r="N20" s="62"/>
      <c r="O20" s="62"/>
      <c r="P20" s="26">
        <f t="shared" si="0"/>
        <v>0</v>
      </c>
      <c r="Q20" s="25"/>
      <c r="R20" s="25"/>
      <c r="S20" s="26" t="s">
        <v>225</v>
      </c>
      <c r="T20" s="25"/>
      <c r="U20" s="25"/>
    </row>
    <row r="21" ht="16.5" customHeight="1" spans="1:21">
      <c r="A21" s="23"/>
      <c r="B21" s="64" t="s">
        <v>56</v>
      </c>
      <c r="C21" s="30" t="s">
        <v>57</v>
      </c>
      <c r="D21" s="24" t="s">
        <v>237</v>
      </c>
      <c r="E21" s="24"/>
      <c r="F21" s="25"/>
      <c r="G21" s="26"/>
      <c r="H21" s="26" t="s">
        <v>37</v>
      </c>
      <c r="I21" s="26" t="s">
        <v>37</v>
      </c>
      <c r="J21" s="62" t="str">
        <f>主计划!M14</f>
        <v/>
      </c>
      <c r="K21" s="41" t="e">
        <f>主计划!N14</f>
        <v>#VALUE!</v>
      </c>
      <c r="L21" s="26"/>
      <c r="M21" s="26"/>
      <c r="N21" s="41"/>
      <c r="O21" s="41"/>
      <c r="P21" s="26">
        <f t="shared" si="0"/>
        <v>0</v>
      </c>
      <c r="Q21" s="25"/>
      <c r="R21" s="25"/>
      <c r="S21" s="26" t="s">
        <v>225</v>
      </c>
      <c r="T21" s="25"/>
      <c r="U21" s="25"/>
    </row>
    <row r="22" ht="16.5" customHeight="1" spans="1:21">
      <c r="A22" s="23"/>
      <c r="B22" s="28" t="s">
        <v>59</v>
      </c>
      <c r="C22" s="28" t="s">
        <v>60</v>
      </c>
      <c r="D22" s="24" t="s">
        <v>238</v>
      </c>
      <c r="E22" s="24"/>
      <c r="F22" s="25"/>
      <c r="G22" s="26"/>
      <c r="H22" s="26"/>
      <c r="I22" s="26"/>
      <c r="J22" s="62" t="str">
        <f>IF(M22="是",K21,"")</f>
        <v/>
      </c>
      <c r="K22" s="41" t="e">
        <f>_xlfn.WORKDAY.INTL(J22,L22,1,法定节假日!B2:B31)</f>
        <v>#VALUE!</v>
      </c>
      <c r="L22" s="26"/>
      <c r="M22" s="26"/>
      <c r="N22" s="41"/>
      <c r="O22" s="41"/>
      <c r="P22" s="26">
        <f t="shared" si="0"/>
        <v>0</v>
      </c>
      <c r="Q22" s="25"/>
      <c r="R22" s="25"/>
      <c r="S22" s="26" t="s">
        <v>225</v>
      </c>
      <c r="T22" s="25"/>
      <c r="U22" s="25"/>
    </row>
    <row r="23" ht="16.5" customHeight="1" spans="1:21">
      <c r="A23" s="23"/>
      <c r="B23" s="28"/>
      <c r="C23" s="28"/>
      <c r="D23" s="24" t="s">
        <v>239</v>
      </c>
      <c r="E23" s="24"/>
      <c r="F23" s="25"/>
      <c r="G23" s="26" t="s">
        <v>37</v>
      </c>
      <c r="H23" s="26" t="s">
        <v>37</v>
      </c>
      <c r="I23" s="26" t="s">
        <v>37</v>
      </c>
      <c r="J23" s="62" t="str">
        <f>IF(M23="是",K22,"")</f>
        <v/>
      </c>
      <c r="K23" s="41" t="e">
        <f>_xlfn.WORKDAY.INTL(J23,L23,1,法定节假日!B2:B31)</f>
        <v>#VALUE!</v>
      </c>
      <c r="L23" s="26"/>
      <c r="M23" s="26"/>
      <c r="N23" s="41"/>
      <c r="O23" s="41"/>
      <c r="P23" s="26">
        <f t="shared" si="0"/>
        <v>0</v>
      </c>
      <c r="Q23" s="25"/>
      <c r="R23" s="25"/>
      <c r="S23" s="26" t="s">
        <v>225</v>
      </c>
      <c r="T23" s="25"/>
      <c r="U23" s="25"/>
    </row>
    <row r="24" ht="16.5" customHeight="1" spans="1:21">
      <c r="A24" s="23"/>
      <c r="B24" s="28"/>
      <c r="C24" s="28"/>
      <c r="D24" s="24" t="s">
        <v>60</v>
      </c>
      <c r="E24" s="24"/>
      <c r="F24" s="26" t="s">
        <v>37</v>
      </c>
      <c r="G24" s="26"/>
      <c r="H24" s="26"/>
      <c r="I24" s="26"/>
      <c r="J24" s="62" t="str">
        <f>IF(M24="是",K23,"")</f>
        <v/>
      </c>
      <c r="K24" s="41" t="e">
        <f>_xlfn.WORKDAY.INTL(J24,L24,1,法定节假日!B2:B31)</f>
        <v>#VALUE!</v>
      </c>
      <c r="L24" s="26"/>
      <c r="M24" s="26"/>
      <c r="N24" s="41"/>
      <c r="O24" s="41"/>
      <c r="P24" s="26">
        <f t="shared" si="0"/>
        <v>0</v>
      </c>
      <c r="Q24" s="25"/>
      <c r="R24" s="25"/>
      <c r="S24" s="26" t="s">
        <v>225</v>
      </c>
      <c r="T24" s="25"/>
      <c r="U24" s="25"/>
    </row>
  </sheetData>
  <mergeCells count="25">
    <mergeCell ref="J1:K1"/>
    <mergeCell ref="N1:O1"/>
    <mergeCell ref="Q1:R1"/>
    <mergeCell ref="S1:T1"/>
    <mergeCell ref="A1:A2"/>
    <mergeCell ref="B1:B2"/>
    <mergeCell ref="B4:B9"/>
    <mergeCell ref="B10:B11"/>
    <mergeCell ref="B14:B15"/>
    <mergeCell ref="B16:B17"/>
    <mergeCell ref="B22:B24"/>
    <mergeCell ref="C1:C2"/>
    <mergeCell ref="C4:C9"/>
    <mergeCell ref="C10:C11"/>
    <mergeCell ref="C14:C15"/>
    <mergeCell ref="C16:C17"/>
    <mergeCell ref="C22:C24"/>
    <mergeCell ref="D1:D2"/>
    <mergeCell ref="E1:E2"/>
    <mergeCell ref="F1:F2"/>
    <mergeCell ref="G1:G2"/>
    <mergeCell ref="H1:H2"/>
    <mergeCell ref="I1:I2"/>
    <mergeCell ref="M1:M2"/>
    <mergeCell ref="U1:U2"/>
  </mergeCells>
  <dataValidations count="2">
    <dataValidation type="list" allowBlank="1" showInputMessage="1" showErrorMessage="1" sqref="M3:M24">
      <formula1>"是"</formula1>
    </dataValidation>
    <dataValidation type="list" allowBlank="1" showInputMessage="1" showErrorMessage="1" sqref="S4:S11 S13:S17 S19:S24">
      <formula1>"未完成,进行中,已完成"</formula1>
    </dataValidation>
  </dataValidations>
  <pageMargins left="0.7" right="0.7" top="0.75" bottom="0.75" header="0.3" footer="0.3"/>
  <headerFooter/>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U52"/>
  <sheetViews>
    <sheetView workbookViewId="0">
      <selection activeCell="A1" sqref="A1:A2"/>
    </sheetView>
  </sheetViews>
  <sheetFormatPr defaultColWidth="8.83333333333333" defaultRowHeight="14" customHeight="1"/>
  <cols>
    <col min="1" max="1" width="9.16666666666667" style="1" customWidth="1"/>
    <col min="3" max="3" width="23.8333333333333" style="1" customWidth="1"/>
    <col min="4" max="4" width="28.1666666666667" style="1" customWidth="1"/>
    <col min="5" max="5" width="21.6666666666667" style="1" customWidth="1"/>
    <col min="6" max="9" width="7.33333333333333" style="1" customWidth="1"/>
    <col min="10" max="11" width="13.1666666666667" style="1" customWidth="1"/>
    <col min="12" max="12" width="10" style="1" customWidth="1"/>
    <col min="13" max="13" width="12.1666666666667" style="1" customWidth="1"/>
    <col min="14" max="15" width="13.1666666666667" style="1" customWidth="1"/>
    <col min="16" max="16" width="10.8333333333333" style="1" customWidth="1"/>
  </cols>
  <sheetData>
    <row r="1" ht="16.5" customHeight="1" spans="1:21">
      <c r="A1" s="7" t="s">
        <v>11</v>
      </c>
      <c r="B1" s="7" t="s">
        <v>12</v>
      </c>
      <c r="C1" s="8" t="s">
        <v>13</v>
      </c>
      <c r="D1" s="9" t="s">
        <v>216</v>
      </c>
      <c r="E1" s="9" t="s">
        <v>217</v>
      </c>
      <c r="F1" s="8" t="s">
        <v>6</v>
      </c>
      <c r="G1" s="7" t="s">
        <v>17</v>
      </c>
      <c r="H1" s="7" t="s">
        <v>18</v>
      </c>
      <c r="I1" s="7" t="s">
        <v>240</v>
      </c>
      <c r="J1" s="10" t="s">
        <v>20</v>
      </c>
      <c r="K1" s="10"/>
      <c r="L1" s="11" t="s">
        <v>21</v>
      </c>
      <c r="M1" s="12" t="s">
        <v>22</v>
      </c>
      <c r="N1" s="11" t="s">
        <v>218</v>
      </c>
      <c r="O1" s="13"/>
      <c r="P1" s="13" t="s">
        <v>21</v>
      </c>
      <c r="Q1" s="10" t="s">
        <v>23</v>
      </c>
      <c r="R1" s="10"/>
      <c r="S1" s="10" t="s">
        <v>16</v>
      </c>
      <c r="T1" s="10"/>
      <c r="U1" s="12" t="s">
        <v>219</v>
      </c>
    </row>
    <row r="2" ht="33" customHeight="1" spans="1:21">
      <c r="A2" s="7"/>
      <c r="B2" s="7"/>
      <c r="C2" s="8"/>
      <c r="D2" s="14"/>
      <c r="E2" s="14"/>
      <c r="F2" s="8"/>
      <c r="G2" s="8"/>
      <c r="H2" s="8"/>
      <c r="I2" s="8"/>
      <c r="J2" s="10" t="s">
        <v>27</v>
      </c>
      <c r="K2" s="10" t="s">
        <v>28</v>
      </c>
      <c r="L2" s="10" t="s">
        <v>29</v>
      </c>
      <c r="M2" s="15"/>
      <c r="N2" s="10" t="s">
        <v>220</v>
      </c>
      <c r="O2" s="10" t="s">
        <v>221</v>
      </c>
      <c r="P2" s="10" t="s">
        <v>222</v>
      </c>
      <c r="Q2" s="10" t="s">
        <v>30</v>
      </c>
      <c r="R2" s="10" t="s">
        <v>31</v>
      </c>
      <c r="S2" s="10" t="s">
        <v>25</v>
      </c>
      <c r="T2" s="10" t="s">
        <v>26</v>
      </c>
      <c r="U2" s="15"/>
    </row>
    <row r="3" customHeight="1" spans="1:21">
      <c r="A3" s="16">
        <v>2.1</v>
      </c>
      <c r="B3" s="16"/>
      <c r="C3" s="16" t="s">
        <v>63</v>
      </c>
      <c r="D3" s="16"/>
      <c r="E3" s="16"/>
      <c r="F3" s="18"/>
      <c r="G3" s="19"/>
      <c r="H3" s="19"/>
      <c r="I3" s="18"/>
      <c r="J3" s="39">
        <f>主计划!M17</f>
        <v>0</v>
      </c>
      <c r="K3" s="39">
        <f>主计划!N17</f>
        <v>0</v>
      </c>
      <c r="L3" s="19">
        <f>主计划!O17</f>
        <v>0</v>
      </c>
      <c r="M3" s="19"/>
      <c r="N3" s="39">
        <f>MIN(N4:N16)</f>
        <v>0</v>
      </c>
      <c r="O3" s="39">
        <f>MAX(O4:O16)</f>
        <v>0</v>
      </c>
      <c r="P3" s="19">
        <f t="shared" ref="P3:P52" si="0">NETWORKDAYS(N3,O3)</f>
        <v>0</v>
      </c>
      <c r="Q3" s="18"/>
      <c r="R3" s="18"/>
      <c r="S3" s="18" t="str">
        <f>IF(COUNTIF(S4:S16,"未完成")=COUNTA(S4:S16),"未完成",IF(COUNTIF(S4:S16,"已完成")=COUNTA(S4:S16),"已完成","进行中"))</f>
        <v>未完成</v>
      </c>
      <c r="T3" s="18"/>
      <c r="U3" s="22"/>
    </row>
    <row r="4" customHeight="1" spans="1:21">
      <c r="A4" s="23"/>
      <c r="B4" s="28" t="s">
        <v>64</v>
      </c>
      <c r="C4" s="28" t="s">
        <v>65</v>
      </c>
      <c r="D4" s="24" t="s">
        <v>241</v>
      </c>
      <c r="E4" s="24"/>
      <c r="F4" s="25"/>
      <c r="G4" s="26"/>
      <c r="H4" s="26"/>
      <c r="I4" s="25"/>
      <c r="J4" s="41"/>
      <c r="K4" s="47">
        <f>_xlfn.WORKDAY.INTL(J4,L4,1,法定节假日!B2:B31)</f>
        <v>0</v>
      </c>
      <c r="L4" s="26"/>
      <c r="M4" s="26"/>
      <c r="N4" s="41"/>
      <c r="O4" s="41"/>
      <c r="P4" s="26">
        <f t="shared" si="0"/>
        <v>0</v>
      </c>
      <c r="Q4" s="25"/>
      <c r="R4" s="25"/>
      <c r="S4" s="25" t="s">
        <v>225</v>
      </c>
      <c r="T4" s="25"/>
      <c r="U4" s="22"/>
    </row>
    <row r="5" customHeight="1" spans="1:21">
      <c r="A5" s="23"/>
      <c r="B5" s="28"/>
      <c r="C5" s="28"/>
      <c r="D5" s="24" t="s">
        <v>242</v>
      </c>
      <c r="E5" s="24"/>
      <c r="F5" s="25"/>
      <c r="G5" s="26"/>
      <c r="H5" s="26"/>
      <c r="I5" s="25"/>
      <c r="J5" s="26" t="str">
        <f t="shared" ref="J5:J16" si="1">IF(M5="是",K4,"")</f>
        <v/>
      </c>
      <c r="K5" s="47" t="e">
        <f>_xlfn.WORKDAY.INTL(J5,L5,1,法定节假日!B2:B31)</f>
        <v>#VALUE!</v>
      </c>
      <c r="L5" s="26"/>
      <c r="M5" s="26"/>
      <c r="N5" s="41"/>
      <c r="O5" s="41"/>
      <c r="P5" s="26">
        <f t="shared" si="0"/>
        <v>0</v>
      </c>
      <c r="Q5" s="25"/>
      <c r="R5" s="25"/>
      <c r="S5" s="25" t="s">
        <v>225</v>
      </c>
      <c r="T5" s="25"/>
      <c r="U5" s="22"/>
    </row>
    <row r="6" customHeight="1" spans="1:21">
      <c r="A6" s="23"/>
      <c r="B6" s="28" t="s">
        <v>78</v>
      </c>
      <c r="C6" s="28" t="s">
        <v>243</v>
      </c>
      <c r="D6" s="24" t="s">
        <v>244</v>
      </c>
      <c r="E6" s="24" t="s">
        <v>245</v>
      </c>
      <c r="F6" s="25"/>
      <c r="G6" s="26"/>
      <c r="H6" s="26"/>
      <c r="I6" s="25"/>
      <c r="J6" s="26" t="str">
        <f t="shared" si="1"/>
        <v/>
      </c>
      <c r="K6" s="47" t="e">
        <f>_xlfn.WORKDAY.INTL(J6,L6,1,法定节假日!B2:B31)</f>
        <v>#VALUE!</v>
      </c>
      <c r="L6" s="26"/>
      <c r="M6" s="26"/>
      <c r="N6" s="41"/>
      <c r="O6" s="41"/>
      <c r="P6" s="26">
        <f t="shared" si="0"/>
        <v>0</v>
      </c>
      <c r="Q6" s="25"/>
      <c r="R6" s="25"/>
      <c r="S6" s="25" t="s">
        <v>225</v>
      </c>
      <c r="T6" s="25"/>
      <c r="U6" s="22"/>
    </row>
    <row r="7" customHeight="1" spans="1:21">
      <c r="A7" s="23"/>
      <c r="B7" s="28"/>
      <c r="C7" s="28"/>
      <c r="D7" s="24" t="s">
        <v>246</v>
      </c>
      <c r="E7" s="24"/>
      <c r="F7" s="25"/>
      <c r="G7" s="26"/>
      <c r="H7" s="26"/>
      <c r="I7" s="25"/>
      <c r="J7" s="26" t="str">
        <f t="shared" si="1"/>
        <v/>
      </c>
      <c r="K7" s="47" t="e">
        <f>_xlfn.WORKDAY.INTL(J7,L7,1,法定节假日!B2:B31)</f>
        <v>#VALUE!</v>
      </c>
      <c r="L7" s="26"/>
      <c r="M7" s="26"/>
      <c r="N7" s="41"/>
      <c r="O7" s="41"/>
      <c r="P7" s="26">
        <f t="shared" si="0"/>
        <v>0</v>
      </c>
      <c r="Q7" s="25"/>
      <c r="R7" s="25"/>
      <c r="S7" s="25" t="s">
        <v>225</v>
      </c>
      <c r="T7" s="25"/>
      <c r="U7" s="22"/>
    </row>
    <row r="8" customHeight="1" spans="1:21">
      <c r="A8" s="23"/>
      <c r="B8" s="28" t="s">
        <v>81</v>
      </c>
      <c r="C8" s="30" t="s">
        <v>69</v>
      </c>
      <c r="D8" s="24" t="s">
        <v>247</v>
      </c>
      <c r="E8" s="24" t="s">
        <v>248</v>
      </c>
      <c r="F8" s="25"/>
      <c r="G8" s="26"/>
      <c r="H8" s="26"/>
      <c r="I8" s="25"/>
      <c r="J8" s="26" t="str">
        <f t="shared" si="1"/>
        <v/>
      </c>
      <c r="K8" s="47" t="e">
        <f>_xlfn.WORKDAY.INTL(J8,L8,1,法定节假日!B2:B31)</f>
        <v>#VALUE!</v>
      </c>
      <c r="L8" s="26"/>
      <c r="M8" s="26"/>
      <c r="N8" s="41"/>
      <c r="O8" s="41"/>
      <c r="P8" s="26">
        <f t="shared" si="0"/>
        <v>0</v>
      </c>
      <c r="Q8" s="25"/>
      <c r="R8" s="25"/>
      <c r="S8" s="25" t="s">
        <v>225</v>
      </c>
      <c r="T8" s="25"/>
      <c r="U8" s="22"/>
    </row>
    <row r="9" customHeight="1" spans="1:21">
      <c r="A9" s="23"/>
      <c r="B9" s="28"/>
      <c r="C9" s="31"/>
      <c r="D9" s="24" t="s">
        <v>249</v>
      </c>
      <c r="E9" s="24"/>
      <c r="F9" s="25"/>
      <c r="G9" s="26"/>
      <c r="H9" s="26"/>
      <c r="I9" s="25"/>
      <c r="J9" s="26" t="str">
        <f t="shared" si="1"/>
        <v/>
      </c>
      <c r="K9" s="47" t="e">
        <f>_xlfn.WORKDAY.INTL(J9,L9,1,法定节假日!B2:B31)</f>
        <v>#VALUE!</v>
      </c>
      <c r="L9" s="26"/>
      <c r="M9" s="26"/>
      <c r="N9" s="41"/>
      <c r="O9" s="41"/>
      <c r="P9" s="26">
        <f t="shared" si="0"/>
        <v>0</v>
      </c>
      <c r="Q9" s="25"/>
      <c r="R9" s="25"/>
      <c r="S9" s="25" t="s">
        <v>225</v>
      </c>
      <c r="T9" s="25"/>
      <c r="U9" s="22"/>
    </row>
    <row r="10" customHeight="1" spans="1:21">
      <c r="A10" s="23"/>
      <c r="B10" s="28"/>
      <c r="C10" s="31"/>
      <c r="D10" s="24" t="s">
        <v>250</v>
      </c>
      <c r="E10" s="24"/>
      <c r="F10" s="25"/>
      <c r="G10" s="26"/>
      <c r="H10" s="26"/>
      <c r="I10" s="25"/>
      <c r="J10" s="26" t="str">
        <f t="shared" si="1"/>
        <v/>
      </c>
      <c r="K10" s="47" t="e">
        <f>_xlfn.WORKDAY.INTL(J10,L10,1,法定节假日!B2:B31)</f>
        <v>#VALUE!</v>
      </c>
      <c r="L10" s="26"/>
      <c r="M10" s="26"/>
      <c r="N10" s="41"/>
      <c r="O10" s="41"/>
      <c r="P10" s="26">
        <f t="shared" si="0"/>
        <v>0</v>
      </c>
      <c r="Q10" s="25"/>
      <c r="R10" s="25"/>
      <c r="S10" s="25" t="s">
        <v>225</v>
      </c>
      <c r="T10" s="25"/>
      <c r="U10" s="22"/>
    </row>
    <row r="11" customHeight="1" spans="1:21">
      <c r="A11" s="23"/>
      <c r="B11" s="28"/>
      <c r="C11" s="31"/>
      <c r="D11" s="24" t="s">
        <v>251</v>
      </c>
      <c r="E11" s="24"/>
      <c r="F11" s="25"/>
      <c r="G11" s="26"/>
      <c r="H11" s="26"/>
      <c r="I11" s="25"/>
      <c r="J11" s="26" t="str">
        <f t="shared" si="1"/>
        <v/>
      </c>
      <c r="K11" s="47" t="e">
        <f>_xlfn.WORKDAY.INTL(J11,L11,1,法定节假日!B2:B31)</f>
        <v>#VALUE!</v>
      </c>
      <c r="L11" s="26"/>
      <c r="M11" s="26"/>
      <c r="N11" s="41"/>
      <c r="O11" s="41"/>
      <c r="P11" s="26">
        <f t="shared" si="0"/>
        <v>0</v>
      </c>
      <c r="Q11" s="25"/>
      <c r="R11" s="25"/>
      <c r="S11" s="25" t="s">
        <v>225</v>
      </c>
      <c r="T11" s="25"/>
      <c r="U11" s="22"/>
    </row>
    <row r="12" customHeight="1" spans="1:21">
      <c r="A12" s="23"/>
      <c r="B12" s="28"/>
      <c r="C12" s="31"/>
      <c r="D12" s="24" t="s">
        <v>252</v>
      </c>
      <c r="E12" s="22"/>
      <c r="F12" s="25"/>
      <c r="G12" s="26"/>
      <c r="H12" s="26"/>
      <c r="I12" s="25"/>
      <c r="J12" s="26" t="str">
        <f t="shared" si="1"/>
        <v/>
      </c>
      <c r="K12" s="47" t="e">
        <f>_xlfn.WORKDAY.INTL(J12,L12,1,法定节假日!B2:B31)</f>
        <v>#VALUE!</v>
      </c>
      <c r="L12" s="26"/>
      <c r="M12" s="26"/>
      <c r="N12" s="41"/>
      <c r="O12" s="41"/>
      <c r="P12" s="26">
        <f t="shared" si="0"/>
        <v>0</v>
      </c>
      <c r="Q12" s="25"/>
      <c r="R12" s="25"/>
      <c r="S12" s="25" t="s">
        <v>225</v>
      </c>
      <c r="T12" s="25"/>
      <c r="U12" s="22"/>
    </row>
    <row r="13" customHeight="1" spans="1:21">
      <c r="A13" s="23"/>
      <c r="B13" s="30" t="s">
        <v>253</v>
      </c>
      <c r="C13" s="30" t="s">
        <v>72</v>
      </c>
      <c r="D13" s="24" t="s">
        <v>254</v>
      </c>
      <c r="E13" s="24"/>
      <c r="F13" s="25"/>
      <c r="G13" s="26"/>
      <c r="H13" s="26"/>
      <c r="I13" s="26"/>
      <c r="J13" s="26" t="str">
        <f t="shared" si="1"/>
        <v/>
      </c>
      <c r="K13" s="47" t="e">
        <f>_xlfn.WORKDAY.INTL(J13,L13,1,法定节假日!B2:B31)</f>
        <v>#VALUE!</v>
      </c>
      <c r="L13" s="26"/>
      <c r="M13" s="26"/>
      <c r="N13" s="41"/>
      <c r="O13" s="41"/>
      <c r="P13" s="26">
        <f t="shared" si="0"/>
        <v>0</v>
      </c>
      <c r="Q13" s="25"/>
      <c r="R13" s="25"/>
      <c r="S13" s="25" t="s">
        <v>225</v>
      </c>
      <c r="T13" s="25"/>
      <c r="U13" s="22"/>
    </row>
    <row r="14" customHeight="1" spans="1:21">
      <c r="A14" s="23"/>
      <c r="B14" s="31"/>
      <c r="C14" s="31"/>
      <c r="D14" s="24" t="s">
        <v>255</v>
      </c>
      <c r="E14" s="24"/>
      <c r="F14" s="25"/>
      <c r="G14" s="26"/>
      <c r="H14" s="26"/>
      <c r="I14" s="26"/>
      <c r="J14" s="26" t="str">
        <f t="shared" si="1"/>
        <v/>
      </c>
      <c r="K14" s="47" t="e">
        <f>_xlfn.WORKDAY.INTL(J14,L14,1,法定节假日!B2:B31)</f>
        <v>#VALUE!</v>
      </c>
      <c r="L14" s="26"/>
      <c r="M14" s="26"/>
      <c r="N14" s="41"/>
      <c r="O14" s="41"/>
      <c r="P14" s="26">
        <f t="shared" si="0"/>
        <v>0</v>
      </c>
      <c r="Q14" s="25"/>
      <c r="R14" s="25"/>
      <c r="S14" s="25" t="s">
        <v>225</v>
      </c>
      <c r="T14" s="25"/>
      <c r="U14" s="22"/>
    </row>
    <row r="15" customHeight="1" spans="1:21">
      <c r="A15" s="23"/>
      <c r="B15" s="31"/>
      <c r="C15" s="31"/>
      <c r="D15" s="24" t="s">
        <v>256</v>
      </c>
      <c r="F15" s="25"/>
      <c r="G15" s="26" t="s">
        <v>37</v>
      </c>
      <c r="H15" s="26" t="s">
        <v>37</v>
      </c>
      <c r="I15" s="26" t="s">
        <v>37</v>
      </c>
      <c r="J15" s="26" t="str">
        <f t="shared" si="1"/>
        <v/>
      </c>
      <c r="K15" s="47" t="e">
        <f>_xlfn.WORKDAY.INTL(J15,L15,1,法定节假日!B2:B31)</f>
        <v>#VALUE!</v>
      </c>
      <c r="L15" s="26"/>
      <c r="M15" s="26"/>
      <c r="N15" s="41"/>
      <c r="O15" s="41"/>
      <c r="P15" s="26">
        <f t="shared" si="0"/>
        <v>0</v>
      </c>
      <c r="Q15" s="25"/>
      <c r="R15" s="25"/>
      <c r="S15" s="25" t="s">
        <v>225</v>
      </c>
      <c r="T15" s="25"/>
      <c r="U15" s="22"/>
    </row>
    <row r="16" customHeight="1" spans="1:21">
      <c r="A16" s="23"/>
      <c r="B16" s="31"/>
      <c r="C16" s="31"/>
      <c r="D16" s="24" t="s">
        <v>257</v>
      </c>
      <c r="E16" s="24"/>
      <c r="F16" s="25"/>
      <c r="G16" s="26"/>
      <c r="H16" s="26" t="s">
        <v>37</v>
      </c>
      <c r="I16" s="26"/>
      <c r="J16" s="26" t="str">
        <f t="shared" si="1"/>
        <v/>
      </c>
      <c r="K16" s="47" t="e">
        <f>_xlfn.WORKDAY.INTL(J16,L16,1,法定节假日!B2:B31)</f>
        <v>#VALUE!</v>
      </c>
      <c r="L16" s="26"/>
      <c r="M16" s="26"/>
      <c r="N16" s="41"/>
      <c r="O16" s="41"/>
      <c r="P16" s="26">
        <f t="shared" si="0"/>
        <v>0</v>
      </c>
      <c r="Q16" s="25"/>
      <c r="R16" s="25"/>
      <c r="S16" s="25" t="s">
        <v>225</v>
      </c>
      <c r="T16" s="25"/>
      <c r="U16" s="22"/>
    </row>
    <row r="17" customHeight="1" spans="1:21">
      <c r="A17" s="16">
        <v>2.2</v>
      </c>
      <c r="B17" s="16"/>
      <c r="C17" s="16" t="s">
        <v>74</v>
      </c>
      <c r="D17" s="16"/>
      <c r="E17" s="16"/>
      <c r="F17" s="18"/>
      <c r="G17" s="19"/>
      <c r="H17" s="19"/>
      <c r="I17" s="18"/>
      <c r="J17" s="39" t="str">
        <f>主计划!M22</f>
        <v/>
      </c>
      <c r="K17" s="39" t="e">
        <f>主计划!N22</f>
        <v>#VALUE!</v>
      </c>
      <c r="L17" s="19">
        <f>主计划!O22</f>
        <v>0</v>
      </c>
      <c r="M17" s="19"/>
      <c r="N17" s="39">
        <f>MIN(N18:N25)</f>
        <v>0</v>
      </c>
      <c r="O17" s="39">
        <f>MAX(O18:O25)</f>
        <v>0</v>
      </c>
      <c r="P17" s="19">
        <f t="shared" si="0"/>
        <v>0</v>
      </c>
      <c r="Q17" s="18"/>
      <c r="R17" s="18"/>
      <c r="S17" s="18" t="str">
        <f>IF(COUNTIF(S18:S25,"未完成")=COUNTA(S18:S25),"未完成",IF(COUNTIF(S18:S25,"已完成")=COUNTA(S18:S25),"已完成","进行中"))</f>
        <v>未完成</v>
      </c>
      <c r="T17" s="18"/>
      <c r="U17" s="22"/>
    </row>
    <row r="18" customHeight="1" spans="1:21">
      <c r="A18" s="23"/>
      <c r="B18" s="30" t="s">
        <v>75</v>
      </c>
      <c r="C18" s="28" t="s">
        <v>76</v>
      </c>
      <c r="D18" s="25" t="s">
        <v>258</v>
      </c>
      <c r="E18" s="25"/>
      <c r="F18" s="25"/>
      <c r="G18" s="26" t="s">
        <v>37</v>
      </c>
      <c r="H18" s="26" t="s">
        <v>37</v>
      </c>
      <c r="I18" s="26" t="s">
        <v>37</v>
      </c>
      <c r="J18" s="41"/>
      <c r="K18" s="47">
        <f>_xlfn.WORKDAY.INTL(J18,L18,1,法定节假日!B2:B31)</f>
        <v>0</v>
      </c>
      <c r="L18" s="26"/>
      <c r="M18" s="26"/>
      <c r="N18" s="41"/>
      <c r="O18" s="41"/>
      <c r="P18" s="26">
        <f t="shared" si="0"/>
        <v>0</v>
      </c>
      <c r="Q18" s="25"/>
      <c r="R18" s="25"/>
      <c r="S18" s="25" t="s">
        <v>225</v>
      </c>
      <c r="T18" s="25"/>
      <c r="U18" s="22"/>
    </row>
    <row r="19" customHeight="1" spans="1:21">
      <c r="A19" s="23"/>
      <c r="B19" s="31"/>
      <c r="C19" s="28"/>
      <c r="D19" s="24" t="s">
        <v>259</v>
      </c>
      <c r="E19" s="24"/>
      <c r="F19" s="25"/>
      <c r="G19" s="26" t="s">
        <v>37</v>
      </c>
      <c r="H19" s="26" t="s">
        <v>37</v>
      </c>
      <c r="I19" s="26" t="s">
        <v>37</v>
      </c>
      <c r="J19" s="26" t="str">
        <f t="shared" ref="J19:J25" si="2">IF(M19="是",K18,"")</f>
        <v/>
      </c>
      <c r="K19" s="47" t="e">
        <f>_xlfn.WORKDAY.INTL(J19,L19,1,法定节假日!B2:B31)</f>
        <v>#VALUE!</v>
      </c>
      <c r="L19" s="26"/>
      <c r="M19" s="26"/>
      <c r="N19" s="41"/>
      <c r="O19" s="41"/>
      <c r="P19" s="26">
        <f t="shared" si="0"/>
        <v>0</v>
      </c>
      <c r="Q19" s="25"/>
      <c r="R19" s="25"/>
      <c r="S19" s="25" t="s">
        <v>225</v>
      </c>
      <c r="T19" s="25"/>
      <c r="U19" s="22"/>
    </row>
    <row r="20" customHeight="1" spans="1:21">
      <c r="A20" s="23"/>
      <c r="B20" s="30" t="s">
        <v>78</v>
      </c>
      <c r="C20" s="30" t="s">
        <v>79</v>
      </c>
      <c r="D20" s="24" t="s">
        <v>79</v>
      </c>
      <c r="E20" s="24"/>
      <c r="F20" s="25"/>
      <c r="G20" s="26"/>
      <c r="H20" s="26"/>
      <c r="I20" s="25"/>
      <c r="J20" s="26" t="str">
        <f t="shared" si="2"/>
        <v/>
      </c>
      <c r="K20" s="47" t="e">
        <f>_xlfn.WORKDAY.INTL(J20,L20,1,法定节假日!B2:B31)</f>
        <v>#VALUE!</v>
      </c>
      <c r="L20" s="26"/>
      <c r="M20" s="26"/>
      <c r="N20" s="41"/>
      <c r="O20" s="41"/>
      <c r="P20" s="26">
        <f t="shared" si="0"/>
        <v>0</v>
      </c>
      <c r="Q20" s="25"/>
      <c r="R20" s="25"/>
      <c r="S20" s="25" t="s">
        <v>225</v>
      </c>
      <c r="T20" s="25"/>
      <c r="U20" s="22"/>
    </row>
    <row r="21" customHeight="1" spans="1:21">
      <c r="A21" s="23"/>
      <c r="B21" s="31"/>
      <c r="C21" s="31"/>
      <c r="D21" s="24" t="s">
        <v>260</v>
      </c>
      <c r="E21" s="24"/>
      <c r="F21" s="25"/>
      <c r="G21" s="26"/>
      <c r="H21" s="26"/>
      <c r="I21" s="26"/>
      <c r="J21" s="26" t="str">
        <f t="shared" si="2"/>
        <v/>
      </c>
      <c r="K21" s="47" t="e">
        <f>_xlfn.WORKDAY.INTL(J21,L21,1,法定节假日!B2:B31)</f>
        <v>#VALUE!</v>
      </c>
      <c r="L21" s="26"/>
      <c r="M21" s="26"/>
      <c r="N21" s="41"/>
      <c r="O21" s="41"/>
      <c r="P21" s="26">
        <f t="shared" si="0"/>
        <v>0</v>
      </c>
      <c r="Q21" s="25"/>
      <c r="R21" s="25"/>
      <c r="S21" s="25" t="s">
        <v>225</v>
      </c>
      <c r="T21" s="25"/>
      <c r="U21" s="22"/>
    </row>
    <row r="22" customHeight="1" spans="1:21">
      <c r="A22" s="23"/>
      <c r="B22" s="31"/>
      <c r="C22" s="31"/>
      <c r="D22" s="24" t="s">
        <v>261</v>
      </c>
      <c r="E22" s="24"/>
      <c r="F22" s="25"/>
      <c r="G22" s="26"/>
      <c r="H22" s="26" t="s">
        <v>37</v>
      </c>
      <c r="I22" s="25"/>
      <c r="J22" s="26" t="str">
        <f t="shared" si="2"/>
        <v/>
      </c>
      <c r="K22" s="47" t="e">
        <f>_xlfn.WORKDAY.INTL(J22,L22,1,法定节假日!B2:B31)</f>
        <v>#VALUE!</v>
      </c>
      <c r="L22" s="26"/>
      <c r="M22" s="26"/>
      <c r="N22" s="41"/>
      <c r="O22" s="41"/>
      <c r="P22" s="26">
        <f t="shared" si="0"/>
        <v>0</v>
      </c>
      <c r="Q22" s="25"/>
      <c r="R22" s="25"/>
      <c r="S22" s="25" t="s">
        <v>225</v>
      </c>
      <c r="T22" s="25"/>
      <c r="U22" s="22"/>
    </row>
    <row r="23" customHeight="1" spans="1:21">
      <c r="A23" s="23"/>
      <c r="B23" s="32"/>
      <c r="C23" s="32"/>
      <c r="D23" s="24" t="s">
        <v>262</v>
      </c>
      <c r="E23" s="24"/>
      <c r="F23" s="25"/>
      <c r="G23" s="26" t="s">
        <v>37</v>
      </c>
      <c r="H23" s="54"/>
      <c r="I23" s="26" t="s">
        <v>37</v>
      </c>
      <c r="J23" s="26" t="str">
        <f t="shared" si="2"/>
        <v/>
      </c>
      <c r="K23" s="47" t="e">
        <f>_xlfn.WORKDAY.INTL(J23,L23,1,法定节假日!B2:B31)</f>
        <v>#VALUE!</v>
      </c>
      <c r="L23" s="26"/>
      <c r="M23" s="26"/>
      <c r="N23" s="41"/>
      <c r="O23" s="41"/>
      <c r="P23" s="26">
        <f t="shared" si="0"/>
        <v>0</v>
      </c>
      <c r="Q23" s="25"/>
      <c r="R23" s="25"/>
      <c r="S23" s="25" t="s">
        <v>225</v>
      </c>
      <c r="T23" s="25"/>
      <c r="U23" s="22"/>
    </row>
    <row r="24" customHeight="1" spans="1:21">
      <c r="A24" s="23"/>
      <c r="B24" s="30" t="s">
        <v>81</v>
      </c>
      <c r="C24" s="30" t="s">
        <v>263</v>
      </c>
      <c r="D24" s="24" t="s">
        <v>264</v>
      </c>
      <c r="E24" s="24"/>
      <c r="F24" s="25"/>
      <c r="G24" s="26"/>
      <c r="H24" s="26" t="s">
        <v>37</v>
      </c>
      <c r="I24" s="25"/>
      <c r="J24" s="26" t="str">
        <f t="shared" si="2"/>
        <v/>
      </c>
      <c r="K24" s="47" t="e">
        <f>_xlfn.WORKDAY.INTL(J24,L24,1,法定节假日!B2:B31)</f>
        <v>#VALUE!</v>
      </c>
      <c r="L24" s="26"/>
      <c r="M24" s="26"/>
      <c r="N24" s="41"/>
      <c r="O24" s="41"/>
      <c r="P24" s="26">
        <f t="shared" si="0"/>
        <v>0</v>
      </c>
      <c r="Q24" s="25"/>
      <c r="R24" s="25"/>
      <c r="S24" s="25" t="s">
        <v>225</v>
      </c>
      <c r="T24" s="25"/>
      <c r="U24" s="22"/>
    </row>
    <row r="25" customHeight="1" spans="1:21">
      <c r="A25" s="23"/>
      <c r="B25" s="32"/>
      <c r="C25" s="32"/>
      <c r="D25" s="24" t="s">
        <v>265</v>
      </c>
      <c r="E25" s="25"/>
      <c r="F25" s="25"/>
      <c r="H25" s="54"/>
      <c r="I25" s="26" t="s">
        <v>37</v>
      </c>
      <c r="J25" s="26" t="str">
        <f t="shared" si="2"/>
        <v/>
      </c>
      <c r="K25" s="47" t="e">
        <f>_xlfn.WORKDAY.INTL(J25,L25,1,法定节假日!B2:B31)</f>
        <v>#VALUE!</v>
      </c>
      <c r="L25" s="26"/>
      <c r="M25" s="26"/>
      <c r="N25" s="41"/>
      <c r="O25" s="41"/>
      <c r="P25" s="26">
        <f t="shared" si="0"/>
        <v>0</v>
      </c>
      <c r="Q25" s="25"/>
      <c r="R25" s="25"/>
      <c r="S25" s="25" t="s">
        <v>225</v>
      </c>
      <c r="T25" s="25"/>
      <c r="U25" s="22"/>
    </row>
    <row r="26" customHeight="1" spans="1:21">
      <c r="A26" s="16">
        <v>2.3</v>
      </c>
      <c r="B26" s="16"/>
      <c r="C26" s="16" t="s">
        <v>84</v>
      </c>
      <c r="D26" s="16"/>
      <c r="E26" s="16"/>
      <c r="F26" s="18"/>
      <c r="G26" s="19"/>
      <c r="H26" s="19"/>
      <c r="I26" s="18"/>
      <c r="J26" s="39" t="str">
        <f>主计划!M26</f>
        <v/>
      </c>
      <c r="K26" s="39" t="e">
        <f>主计划!N26</f>
        <v>#VALUE!</v>
      </c>
      <c r="L26" s="19">
        <f>主计划!O26</f>
        <v>0</v>
      </c>
      <c r="M26" s="19"/>
      <c r="N26" s="39">
        <f>MIN(N27:N33)</f>
        <v>0</v>
      </c>
      <c r="O26" s="39">
        <f>MAX(O27:O33)</f>
        <v>0</v>
      </c>
      <c r="P26" s="19">
        <f t="shared" si="0"/>
        <v>0</v>
      </c>
      <c r="Q26" s="18"/>
      <c r="R26" s="18"/>
      <c r="S26" s="18" t="str">
        <f>IF(COUNTIF(S27:S33,"未完成")=COUNTA(S27:S33),"未完成",IF(COUNTIF(S27:S33,"已完成")=COUNTA(S27:S33),"已完成","进行中"))</f>
        <v>未完成</v>
      </c>
      <c r="T26" s="18"/>
      <c r="U26" s="22"/>
    </row>
    <row r="27" customHeight="1" spans="1:21">
      <c r="A27" s="23"/>
      <c r="B27" s="30" t="s">
        <v>85</v>
      </c>
      <c r="C27" s="30" t="s">
        <v>86</v>
      </c>
      <c r="D27" s="24" t="s">
        <v>266</v>
      </c>
      <c r="E27" s="46"/>
      <c r="F27" s="26"/>
      <c r="G27" s="26"/>
      <c r="H27" s="26"/>
      <c r="I27" s="26"/>
      <c r="J27" s="41"/>
      <c r="K27" s="47">
        <f>_xlfn.WORKDAY.INTL(J27,L27,1,法定节假日!B2:B31)</f>
        <v>0</v>
      </c>
      <c r="L27" s="26"/>
      <c r="M27" s="26"/>
      <c r="N27" s="41"/>
      <c r="O27" s="41"/>
      <c r="P27" s="26">
        <f t="shared" si="0"/>
        <v>0</v>
      </c>
      <c r="Q27" s="25"/>
      <c r="R27" s="25"/>
      <c r="S27" s="25" t="s">
        <v>225</v>
      </c>
      <c r="T27" s="25"/>
      <c r="U27" s="22"/>
    </row>
    <row r="28" customHeight="1" spans="1:21">
      <c r="A28" s="23"/>
      <c r="B28" s="32"/>
      <c r="C28" s="31"/>
      <c r="D28" s="24" t="s">
        <v>267</v>
      </c>
      <c r="E28" s="33"/>
      <c r="F28" s="26"/>
      <c r="G28" s="26"/>
      <c r="H28" s="26"/>
      <c r="I28" s="26"/>
      <c r="J28" s="26" t="str">
        <f t="shared" ref="J28:J33" si="3">IF(M28="是",K27,"")</f>
        <v/>
      </c>
      <c r="K28" s="47" t="e">
        <f>_xlfn.WORKDAY.INTL(J28,L28,1,法定节假日!B2:B31)</f>
        <v>#VALUE!</v>
      </c>
      <c r="L28" s="26"/>
      <c r="M28" s="26"/>
      <c r="N28" s="41"/>
      <c r="O28" s="41"/>
      <c r="P28" s="26">
        <f t="shared" si="0"/>
        <v>0</v>
      </c>
      <c r="Q28" s="25"/>
      <c r="R28" s="25"/>
      <c r="S28" s="25" t="s">
        <v>225</v>
      </c>
      <c r="T28" s="25"/>
      <c r="U28" s="22"/>
    </row>
    <row r="29" customHeight="1" spans="1:21">
      <c r="A29" s="23"/>
      <c r="B29" s="30" t="s">
        <v>87</v>
      </c>
      <c r="C29" s="30" t="s">
        <v>88</v>
      </c>
      <c r="D29" s="24" t="s">
        <v>268</v>
      </c>
      <c r="E29" s="24"/>
      <c r="F29" s="26"/>
      <c r="G29" s="26"/>
      <c r="H29" s="26"/>
      <c r="I29" s="26"/>
      <c r="J29" s="26" t="str">
        <f t="shared" si="3"/>
        <v/>
      </c>
      <c r="K29" s="47" t="e">
        <f>_xlfn.WORKDAY.INTL(J29,L29,1,法定节假日!B2:B31)</f>
        <v>#VALUE!</v>
      </c>
      <c r="L29" s="26"/>
      <c r="M29" s="26"/>
      <c r="N29" s="41"/>
      <c r="O29" s="41"/>
      <c r="P29" s="26">
        <f t="shared" si="0"/>
        <v>0</v>
      </c>
      <c r="Q29" s="25"/>
      <c r="R29" s="25"/>
      <c r="S29" s="25" t="s">
        <v>225</v>
      </c>
      <c r="T29" s="25"/>
      <c r="U29" s="22"/>
    </row>
    <row r="30" customHeight="1" spans="1:21">
      <c r="A30" s="23"/>
      <c r="B30" s="31"/>
      <c r="C30" s="31"/>
      <c r="D30" s="24" t="s">
        <v>260</v>
      </c>
      <c r="E30" s="24"/>
      <c r="F30" s="26"/>
      <c r="G30" s="26"/>
      <c r="H30" s="26"/>
      <c r="I30" s="26"/>
      <c r="J30" s="26" t="str">
        <f t="shared" si="3"/>
        <v/>
      </c>
      <c r="K30" s="47" t="e">
        <f>_xlfn.WORKDAY.INTL(J30,L30,1,法定节假日!B2:B31)</f>
        <v>#VALUE!</v>
      </c>
      <c r="L30" s="26"/>
      <c r="M30" s="26"/>
      <c r="N30" s="41"/>
      <c r="O30" s="41"/>
      <c r="P30" s="26">
        <f t="shared" si="0"/>
        <v>0</v>
      </c>
      <c r="Q30" s="25"/>
      <c r="R30" s="25"/>
      <c r="S30" s="25" t="s">
        <v>225</v>
      </c>
      <c r="T30" s="25"/>
      <c r="U30" s="22"/>
    </row>
    <row r="31" customHeight="1" spans="1:21">
      <c r="A31" s="23"/>
      <c r="B31" s="31"/>
      <c r="C31" s="31"/>
      <c r="D31" s="24" t="s">
        <v>261</v>
      </c>
      <c r="F31" s="26"/>
      <c r="G31" s="26"/>
      <c r="H31" s="26"/>
      <c r="I31" s="26"/>
      <c r="J31" s="26" t="str">
        <f t="shared" si="3"/>
        <v/>
      </c>
      <c r="K31" s="47" t="e">
        <f>_xlfn.WORKDAY.INTL(J31,L31,1,法定节假日!B2:B31)</f>
        <v>#VALUE!</v>
      </c>
      <c r="L31" s="26"/>
      <c r="M31" s="26"/>
      <c r="N31" s="41"/>
      <c r="O31" s="41"/>
      <c r="P31" s="26">
        <f t="shared" si="0"/>
        <v>0</v>
      </c>
      <c r="Q31" s="25"/>
      <c r="R31" s="25"/>
      <c r="S31" s="25" t="s">
        <v>225</v>
      </c>
      <c r="T31" s="25"/>
      <c r="U31" s="22"/>
    </row>
    <row r="32" customHeight="1" spans="1:21">
      <c r="A32" s="23"/>
      <c r="B32" s="31"/>
      <c r="C32" s="31"/>
      <c r="D32" s="24" t="s">
        <v>262</v>
      </c>
      <c r="E32" s="24"/>
      <c r="F32" s="26"/>
      <c r="G32" s="26" t="s">
        <v>37</v>
      </c>
      <c r="H32" s="26"/>
      <c r="I32" s="26" t="s">
        <v>37</v>
      </c>
      <c r="J32" s="26" t="str">
        <f t="shared" si="3"/>
        <v/>
      </c>
      <c r="K32" s="47" t="e">
        <f>_xlfn.WORKDAY.INTL(J32,L32,1,法定节假日!B2:B31)</f>
        <v>#VALUE!</v>
      </c>
      <c r="L32" s="26"/>
      <c r="M32" s="26"/>
      <c r="N32" s="41"/>
      <c r="O32" s="41"/>
      <c r="P32" s="26">
        <f t="shared" si="0"/>
        <v>0</v>
      </c>
      <c r="Q32" s="25"/>
      <c r="R32" s="25"/>
      <c r="S32" s="25" t="s">
        <v>225</v>
      </c>
      <c r="T32" s="25"/>
      <c r="U32" s="22"/>
    </row>
    <row r="33" customHeight="1" spans="1:21">
      <c r="A33" s="23"/>
      <c r="B33" s="32"/>
      <c r="C33" s="32"/>
      <c r="D33" s="24" t="s">
        <v>269</v>
      </c>
      <c r="E33" s="24"/>
      <c r="F33" s="26"/>
      <c r="G33" s="26"/>
      <c r="H33" s="26"/>
      <c r="I33" s="26"/>
      <c r="J33" s="26" t="str">
        <f t="shared" si="3"/>
        <v/>
      </c>
      <c r="K33" s="47" t="e">
        <f>_xlfn.WORKDAY.INTL(J33,L33,1,法定节假日!B2:B31)</f>
        <v>#VALUE!</v>
      </c>
      <c r="L33" s="26"/>
      <c r="M33" s="26"/>
      <c r="N33" s="41"/>
      <c r="O33" s="41"/>
      <c r="P33" s="26">
        <f t="shared" si="0"/>
        <v>0</v>
      </c>
      <c r="Q33" s="25"/>
      <c r="R33" s="25"/>
      <c r="S33" s="25" t="s">
        <v>225</v>
      </c>
      <c r="T33" s="25"/>
      <c r="U33" s="22"/>
    </row>
    <row r="34" customHeight="1" spans="1:21">
      <c r="A34" s="16">
        <v>2.4</v>
      </c>
      <c r="B34" s="16"/>
      <c r="C34" s="16" t="s">
        <v>90</v>
      </c>
      <c r="D34" s="16"/>
      <c r="E34" s="16"/>
      <c r="F34" s="18"/>
      <c r="G34" s="19"/>
      <c r="H34" s="19"/>
      <c r="I34" s="18"/>
      <c r="J34" s="39" t="str">
        <f>主计划!M29</f>
        <v/>
      </c>
      <c r="K34" s="39" t="e">
        <f>主计划!N29</f>
        <v>#VALUE!</v>
      </c>
      <c r="L34" s="19">
        <f>主计划!O29</f>
        <v>0</v>
      </c>
      <c r="M34" s="19"/>
      <c r="N34" s="39">
        <f>MIN(N35:N46)</f>
        <v>0</v>
      </c>
      <c r="O34" s="39">
        <f>MAX(O35:O46)</f>
        <v>0</v>
      </c>
      <c r="P34" s="19">
        <f t="shared" si="0"/>
        <v>0</v>
      </c>
      <c r="Q34" s="18"/>
      <c r="R34" s="18"/>
      <c r="S34" s="18" t="str">
        <f>IF(COUNTIF(S35:S46,"未完成")=COUNTA(S35:S46),"未完成",IF(COUNTIF(S35:S46,"已完成")=COUNTA(S35:S46),"已完成","进行中"))</f>
        <v>未完成</v>
      </c>
      <c r="T34" s="18"/>
      <c r="U34" s="22"/>
    </row>
    <row r="35" customHeight="1" spans="1:21">
      <c r="A35" s="23"/>
      <c r="B35" s="28" t="s">
        <v>91</v>
      </c>
      <c r="C35" s="28" t="s">
        <v>92</v>
      </c>
      <c r="D35" s="24" t="s">
        <v>270</v>
      </c>
      <c r="E35" s="24"/>
      <c r="F35" s="25"/>
      <c r="G35" s="26"/>
      <c r="H35" s="26" t="s">
        <v>37</v>
      </c>
      <c r="I35" s="25"/>
      <c r="J35" s="41"/>
      <c r="K35" s="47">
        <f>_xlfn.WORKDAY.INTL(J35,L35,1,法定节假日!B2:B31)</f>
        <v>0</v>
      </c>
      <c r="L35" s="26"/>
      <c r="M35" s="26"/>
      <c r="N35" s="41"/>
      <c r="O35" s="41"/>
      <c r="P35" s="26">
        <f t="shared" si="0"/>
        <v>0</v>
      </c>
      <c r="Q35" s="25"/>
      <c r="R35" s="25"/>
      <c r="S35" s="25" t="s">
        <v>225</v>
      </c>
      <c r="T35" s="25"/>
      <c r="U35" s="22"/>
    </row>
    <row r="36" customHeight="1" spans="1:21">
      <c r="A36" s="23"/>
      <c r="B36" s="28"/>
      <c r="C36" s="28"/>
      <c r="D36" s="24" t="s">
        <v>271</v>
      </c>
      <c r="E36" s="24"/>
      <c r="F36" s="25"/>
      <c r="G36" s="26"/>
      <c r="H36" s="26"/>
      <c r="I36" s="25"/>
      <c r="J36" s="26" t="str">
        <f t="shared" ref="J36:J43" si="4">IF(M36="是",K35,"")</f>
        <v/>
      </c>
      <c r="K36" s="47" t="e">
        <f>_xlfn.WORKDAY.INTL(J36,L36,1,法定节假日!B2:B31)</f>
        <v>#VALUE!</v>
      </c>
      <c r="L36" s="26"/>
      <c r="M36" s="26"/>
      <c r="N36" s="41"/>
      <c r="O36" s="41"/>
      <c r="P36" s="26">
        <f t="shared" si="0"/>
        <v>0</v>
      </c>
      <c r="Q36" s="25"/>
      <c r="R36" s="25"/>
      <c r="S36" s="25" t="s">
        <v>225</v>
      </c>
      <c r="T36" s="25"/>
      <c r="U36" s="22"/>
    </row>
    <row r="37" customHeight="1" spans="1:21">
      <c r="A37" s="23"/>
      <c r="B37" s="28"/>
      <c r="C37" s="28"/>
      <c r="D37" s="24" t="s">
        <v>272</v>
      </c>
      <c r="E37" s="24"/>
      <c r="F37" s="25"/>
      <c r="G37" s="26"/>
      <c r="H37" s="26"/>
      <c r="I37" s="25"/>
      <c r="J37" s="26" t="str">
        <f t="shared" si="4"/>
        <v/>
      </c>
      <c r="K37" s="47" t="e">
        <f>_xlfn.WORKDAY.INTL(J37,L37,1,法定节假日!B2:B31)</f>
        <v>#VALUE!</v>
      </c>
      <c r="L37" s="26"/>
      <c r="M37" s="26"/>
      <c r="N37" s="41"/>
      <c r="O37" s="41"/>
      <c r="P37" s="26">
        <f t="shared" si="0"/>
        <v>0</v>
      </c>
      <c r="Q37" s="25"/>
      <c r="R37" s="25"/>
      <c r="S37" s="25" t="s">
        <v>225</v>
      </c>
      <c r="T37" s="25"/>
      <c r="U37" s="22"/>
    </row>
    <row r="38" customHeight="1" spans="1:21">
      <c r="A38" s="23"/>
      <c r="B38" s="30" t="s">
        <v>94</v>
      </c>
      <c r="C38" s="30" t="s">
        <v>95</v>
      </c>
      <c r="D38" s="24" t="s">
        <v>273</v>
      </c>
      <c r="E38" s="24"/>
      <c r="F38" s="25"/>
      <c r="G38" s="26"/>
      <c r="H38" s="26"/>
      <c r="I38" s="25"/>
      <c r="J38" s="26" t="str">
        <f t="shared" si="4"/>
        <v/>
      </c>
      <c r="K38" s="47" t="e">
        <f>_xlfn.WORKDAY.INTL(J38,L38,1,法定节假日!B2:B31)</f>
        <v>#VALUE!</v>
      </c>
      <c r="L38" s="26"/>
      <c r="M38" s="26"/>
      <c r="N38" s="41"/>
      <c r="O38" s="41"/>
      <c r="P38" s="26">
        <f t="shared" si="0"/>
        <v>0</v>
      </c>
      <c r="Q38" s="25"/>
      <c r="R38" s="25"/>
      <c r="S38" s="25" t="s">
        <v>225</v>
      </c>
      <c r="T38" s="25"/>
      <c r="U38" s="22"/>
    </row>
    <row r="39" customHeight="1" spans="1:21">
      <c r="A39" s="23"/>
      <c r="B39" s="31"/>
      <c r="C39" s="31"/>
      <c r="D39" s="24" t="s">
        <v>274</v>
      </c>
      <c r="E39" s="24"/>
      <c r="F39" s="25"/>
      <c r="G39" s="26"/>
      <c r="H39" s="26"/>
      <c r="I39" s="25"/>
      <c r="J39" s="26" t="str">
        <f t="shared" si="4"/>
        <v/>
      </c>
      <c r="K39" s="47" t="e">
        <f>_xlfn.WORKDAY.INTL(J39,L39,1,法定节假日!B2:B31)</f>
        <v>#VALUE!</v>
      </c>
      <c r="L39" s="26"/>
      <c r="M39" s="26"/>
      <c r="N39" s="41"/>
      <c r="O39" s="41"/>
      <c r="P39" s="26">
        <f t="shared" si="0"/>
        <v>0</v>
      </c>
      <c r="Q39" s="25"/>
      <c r="R39" s="25"/>
      <c r="S39" s="25" t="s">
        <v>225</v>
      </c>
      <c r="T39" s="25"/>
      <c r="U39" s="22"/>
    </row>
    <row r="40" customHeight="1" spans="1:21">
      <c r="A40" s="23"/>
      <c r="B40" s="32"/>
      <c r="C40" s="32"/>
      <c r="D40" s="24" t="s">
        <v>275</v>
      </c>
      <c r="E40" s="24"/>
      <c r="F40" s="25"/>
      <c r="G40" s="26"/>
      <c r="H40" s="26"/>
      <c r="I40" s="25"/>
      <c r="J40" s="26" t="str">
        <f t="shared" si="4"/>
        <v/>
      </c>
      <c r="K40" s="47" t="e">
        <f>_xlfn.WORKDAY.INTL(J40,L40,1,法定节假日!B2:B31)</f>
        <v>#VALUE!</v>
      </c>
      <c r="L40" s="26"/>
      <c r="M40" s="26"/>
      <c r="N40" s="41"/>
      <c r="O40" s="41"/>
      <c r="P40" s="26">
        <f t="shared" si="0"/>
        <v>0</v>
      </c>
      <c r="Q40" s="25"/>
      <c r="R40" s="25"/>
      <c r="S40" s="25" t="s">
        <v>225</v>
      </c>
      <c r="T40" s="25"/>
      <c r="U40" s="22"/>
    </row>
    <row r="41" customHeight="1" spans="1:21">
      <c r="A41" s="23"/>
      <c r="B41" s="28" t="s">
        <v>96</v>
      </c>
      <c r="C41" s="28" t="s">
        <v>97</v>
      </c>
      <c r="D41" s="24" t="s">
        <v>276</v>
      </c>
      <c r="E41" s="24"/>
      <c r="F41" s="25"/>
      <c r="G41" s="26"/>
      <c r="H41" s="26"/>
      <c r="I41" s="25"/>
      <c r="J41" s="26" t="str">
        <f t="shared" si="4"/>
        <v/>
      </c>
      <c r="K41" s="47" t="e">
        <f>_xlfn.WORKDAY.INTL(J41,L41,1,法定节假日!B2:B31)</f>
        <v>#VALUE!</v>
      </c>
      <c r="L41" s="26"/>
      <c r="M41" s="26"/>
      <c r="N41" s="41"/>
      <c r="O41" s="41"/>
      <c r="P41" s="26">
        <f t="shared" si="0"/>
        <v>0</v>
      </c>
      <c r="Q41" s="25"/>
      <c r="R41" s="25"/>
      <c r="S41" s="25" t="s">
        <v>225</v>
      </c>
      <c r="T41" s="25"/>
      <c r="U41" s="22"/>
    </row>
    <row r="42" customHeight="1" spans="1:21">
      <c r="A42" s="23"/>
      <c r="B42" s="28"/>
      <c r="C42" s="28"/>
      <c r="D42" s="24" t="s">
        <v>277</v>
      </c>
      <c r="E42" s="24"/>
      <c r="F42" s="25"/>
      <c r="G42" s="26"/>
      <c r="H42" s="26"/>
      <c r="I42" s="25"/>
      <c r="J42" s="26" t="str">
        <f t="shared" si="4"/>
        <v/>
      </c>
      <c r="K42" s="47" t="e">
        <f>_xlfn.WORKDAY.INTL(J42,L42,1,法定节假日!B2:B31)</f>
        <v>#VALUE!</v>
      </c>
      <c r="L42" s="26"/>
      <c r="M42" s="26"/>
      <c r="N42" s="41"/>
      <c r="O42" s="41"/>
      <c r="P42" s="26">
        <f t="shared" si="0"/>
        <v>0</v>
      </c>
      <c r="Q42" s="25"/>
      <c r="R42" s="25"/>
      <c r="S42" s="25" t="s">
        <v>225</v>
      </c>
      <c r="T42" s="25"/>
      <c r="U42" s="22"/>
    </row>
    <row r="43" customHeight="1" spans="1:21">
      <c r="A43" s="23"/>
      <c r="B43" s="28"/>
      <c r="C43" s="28"/>
      <c r="D43" s="24" t="s">
        <v>278</v>
      </c>
      <c r="E43" s="24"/>
      <c r="F43" s="25"/>
      <c r="G43" s="26" t="s">
        <v>37</v>
      </c>
      <c r="H43" s="26" t="s">
        <v>37</v>
      </c>
      <c r="I43" s="26" t="s">
        <v>37</v>
      </c>
      <c r="J43" s="26" t="str">
        <f t="shared" si="4"/>
        <v/>
      </c>
      <c r="K43" s="47" t="e">
        <f>_xlfn.WORKDAY.INTL(J43,L43,1,法定节假日!B2:B31)</f>
        <v>#VALUE!</v>
      </c>
      <c r="L43" s="26"/>
      <c r="M43" s="26"/>
      <c r="N43" s="41"/>
      <c r="O43" s="41"/>
      <c r="P43" s="26">
        <f t="shared" si="0"/>
        <v>0</v>
      </c>
      <c r="Q43" s="25"/>
      <c r="R43" s="25"/>
      <c r="S43" s="25" t="s">
        <v>225</v>
      </c>
      <c r="T43" s="25"/>
      <c r="U43" s="22"/>
    </row>
    <row r="44" customHeight="1" spans="1:21">
      <c r="A44" s="23"/>
      <c r="B44" s="30" t="s">
        <v>99</v>
      </c>
      <c r="C44" s="30" t="s">
        <v>100</v>
      </c>
      <c r="D44" s="25" t="s">
        <v>279</v>
      </c>
      <c r="E44" s="25"/>
      <c r="F44" s="25"/>
      <c r="G44" s="26"/>
      <c r="H44" s="26"/>
      <c r="I44" s="25"/>
      <c r="J44" s="41" t="str">
        <f>主计划!M33</f>
        <v/>
      </c>
      <c r="K44" s="41" t="e">
        <f>主计划!N33</f>
        <v>#VALUE!</v>
      </c>
      <c r="L44" s="26">
        <f>主计划!O33</f>
        <v>0</v>
      </c>
      <c r="M44" s="26"/>
      <c r="N44" s="41"/>
      <c r="O44" s="41"/>
      <c r="P44" s="26">
        <f t="shared" si="0"/>
        <v>0</v>
      </c>
      <c r="Q44" s="25"/>
      <c r="R44" s="25"/>
      <c r="S44" s="25" t="s">
        <v>225</v>
      </c>
      <c r="T44" s="25"/>
      <c r="U44" s="22"/>
    </row>
    <row r="45" customHeight="1" spans="1:21">
      <c r="A45" s="23"/>
      <c r="B45" s="30" t="s">
        <v>101</v>
      </c>
      <c r="C45" s="30" t="s">
        <v>102</v>
      </c>
      <c r="D45" s="25" t="s">
        <v>280</v>
      </c>
      <c r="E45" s="25"/>
      <c r="F45" s="25"/>
      <c r="G45" s="26"/>
      <c r="H45" s="26"/>
      <c r="I45" s="25"/>
      <c r="J45" s="26" t="str">
        <f>IF(M45="是",K44,"")</f>
        <v/>
      </c>
      <c r="K45" s="47" t="e">
        <f>_xlfn.WORKDAY.INTL(J45,L45,1,法定节假日!B2:B31)</f>
        <v>#VALUE!</v>
      </c>
      <c r="L45" s="26"/>
      <c r="M45" s="26"/>
      <c r="N45" s="41"/>
      <c r="O45" s="41"/>
      <c r="P45" s="26">
        <f t="shared" si="0"/>
        <v>0</v>
      </c>
      <c r="Q45" s="25"/>
      <c r="R45" s="25"/>
      <c r="S45" s="25" t="s">
        <v>225</v>
      </c>
      <c r="T45" s="25"/>
      <c r="U45" s="22"/>
    </row>
    <row r="46" customHeight="1" spans="1:21">
      <c r="A46" s="23"/>
      <c r="B46" s="32"/>
      <c r="C46" s="32"/>
      <c r="D46" s="24" t="s">
        <v>102</v>
      </c>
      <c r="E46" s="24"/>
      <c r="F46" s="25"/>
      <c r="G46" s="26"/>
      <c r="H46" s="26"/>
      <c r="I46" s="25"/>
      <c r="J46" s="26" t="str">
        <f>IF(M46="是",K45,"")</f>
        <v/>
      </c>
      <c r="K46" s="47" t="e">
        <f>_xlfn.WORKDAY.INTL(J46,L46,1,法定节假日!B2:B31)</f>
        <v>#VALUE!</v>
      </c>
      <c r="L46" s="26"/>
      <c r="M46" s="26"/>
      <c r="N46" s="41"/>
      <c r="O46" s="41"/>
      <c r="P46" s="26">
        <f t="shared" si="0"/>
        <v>0</v>
      </c>
      <c r="Q46" s="25"/>
      <c r="R46" s="25"/>
      <c r="S46" s="25" t="s">
        <v>225</v>
      </c>
      <c r="T46" s="25"/>
      <c r="U46" s="22"/>
    </row>
    <row r="47" customHeight="1" spans="1:21">
      <c r="A47" s="16">
        <v>2.5</v>
      </c>
      <c r="B47" s="16"/>
      <c r="C47" s="16" t="s">
        <v>105</v>
      </c>
      <c r="D47" s="16"/>
      <c r="E47" s="16"/>
      <c r="F47" s="18"/>
      <c r="G47" s="19"/>
      <c r="H47" s="19"/>
      <c r="I47" s="18"/>
      <c r="J47" s="39" t="str">
        <f>主计划!M35</f>
        <v/>
      </c>
      <c r="K47" s="39" t="e">
        <f>主计划!N35</f>
        <v>#VALUE!</v>
      </c>
      <c r="L47" s="19"/>
      <c r="M47" s="19"/>
      <c r="N47" s="39">
        <f>MIN(N48:N52)</f>
        <v>0</v>
      </c>
      <c r="O47" s="39">
        <f>MAX(O48:O52)</f>
        <v>0</v>
      </c>
      <c r="P47" s="19">
        <f t="shared" si="0"/>
        <v>0</v>
      </c>
      <c r="Q47" s="18"/>
      <c r="R47" s="18"/>
      <c r="S47" s="18" t="str">
        <f>IF(COUNTIF(S48:S52,"未完成")=COUNTA(S48:S52),"未完成",IF(COUNTIF(S48:S52,"已完成")=COUNTA(S48:S52),"已完成","进行中"))</f>
        <v>未完成</v>
      </c>
      <c r="T47" s="18"/>
      <c r="U47" s="22"/>
    </row>
    <row r="48" customHeight="1" spans="1:21">
      <c r="A48" s="23"/>
      <c r="B48" s="23" t="s">
        <v>106</v>
      </c>
      <c r="C48" s="24" t="s">
        <v>107</v>
      </c>
      <c r="D48" s="24" t="s">
        <v>281</v>
      </c>
      <c r="E48" s="24"/>
      <c r="F48" s="25"/>
      <c r="G48" s="26"/>
      <c r="H48" s="26"/>
      <c r="I48" s="25"/>
      <c r="J48" s="41">
        <f>主计划!M36</f>
        <v>0</v>
      </c>
      <c r="K48" s="41">
        <f>主计划!N36</f>
        <v>0</v>
      </c>
      <c r="L48" s="26">
        <f>主计划!O36</f>
        <v>0</v>
      </c>
      <c r="M48" s="26"/>
      <c r="N48" s="41"/>
      <c r="O48" s="41"/>
      <c r="P48" s="26">
        <f t="shared" si="0"/>
        <v>0</v>
      </c>
      <c r="Q48" s="25"/>
      <c r="R48" s="25"/>
      <c r="S48" s="25" t="s">
        <v>225</v>
      </c>
      <c r="T48" s="25"/>
      <c r="U48" s="22"/>
    </row>
    <row r="49" customHeight="1" spans="1:21">
      <c r="A49" s="23"/>
      <c r="B49" s="23" t="s">
        <v>109</v>
      </c>
      <c r="C49" s="24" t="s">
        <v>110</v>
      </c>
      <c r="D49" s="24" t="s">
        <v>282</v>
      </c>
      <c r="E49" s="24"/>
      <c r="F49" s="25"/>
      <c r="G49" s="26"/>
      <c r="H49" s="26"/>
      <c r="I49" s="25"/>
      <c r="J49" s="41" t="str">
        <f>主计划!M37</f>
        <v/>
      </c>
      <c r="K49" s="41" t="e">
        <f>主计划!N37</f>
        <v>#VALUE!</v>
      </c>
      <c r="L49" s="26">
        <f>主计划!O37</f>
        <v>0</v>
      </c>
      <c r="M49" s="26"/>
      <c r="N49" s="41"/>
      <c r="O49" s="41"/>
      <c r="P49" s="26">
        <f t="shared" si="0"/>
        <v>0</v>
      </c>
      <c r="Q49" s="25"/>
      <c r="R49" s="25"/>
      <c r="S49" s="25" t="s">
        <v>225</v>
      </c>
      <c r="T49" s="25"/>
      <c r="U49" s="22"/>
    </row>
    <row r="50" customHeight="1" spans="1:21">
      <c r="A50" s="23"/>
      <c r="B50" s="30" t="s">
        <v>111</v>
      </c>
      <c r="C50" s="28" t="s">
        <v>112</v>
      </c>
      <c r="D50" s="24" t="s">
        <v>283</v>
      </c>
      <c r="E50" s="24"/>
      <c r="F50" s="25"/>
      <c r="G50" s="26"/>
      <c r="H50" s="26"/>
      <c r="I50" s="25"/>
      <c r="J50" s="26" t="str">
        <f>IF(M50="是",K49,"")</f>
        <v/>
      </c>
      <c r="K50" s="47" t="e">
        <f>_xlfn.WORKDAY.INTL(J50,L50,1,法定节假日!B2:B31)</f>
        <v>#VALUE!</v>
      </c>
      <c r="L50" s="26"/>
      <c r="M50" s="26"/>
      <c r="N50" s="41"/>
      <c r="O50" s="41"/>
      <c r="P50" s="26">
        <f t="shared" si="0"/>
        <v>0</v>
      </c>
      <c r="Q50" s="25"/>
      <c r="R50" s="25"/>
      <c r="S50" s="25" t="s">
        <v>225</v>
      </c>
      <c r="T50" s="25"/>
      <c r="U50" s="22"/>
    </row>
    <row r="51" customHeight="1" spans="1:21">
      <c r="A51" s="23"/>
      <c r="B51" s="31"/>
      <c r="C51" s="28"/>
      <c r="D51" s="24" t="s">
        <v>284</v>
      </c>
      <c r="E51" s="24"/>
      <c r="F51" s="25"/>
      <c r="G51" s="26"/>
      <c r="H51" s="26"/>
      <c r="I51" s="25"/>
      <c r="J51" s="26" t="str">
        <f>IF(M51="是",K50,"")</f>
        <v/>
      </c>
      <c r="K51" s="47" t="e">
        <f>_xlfn.WORKDAY.INTL(J51,L51,1,法定节假日!B2:B31)</f>
        <v>#VALUE!</v>
      </c>
      <c r="L51" s="26"/>
      <c r="M51" s="26"/>
      <c r="N51" s="41"/>
      <c r="O51" s="41"/>
      <c r="P51" s="26">
        <f t="shared" si="0"/>
        <v>0</v>
      </c>
      <c r="Q51" s="25"/>
      <c r="R51" s="25"/>
      <c r="S51" s="25" t="s">
        <v>225</v>
      </c>
      <c r="T51" s="25"/>
      <c r="U51" s="22"/>
    </row>
    <row r="52" customHeight="1" spans="1:21">
      <c r="A52" s="23"/>
      <c r="B52" s="32"/>
      <c r="C52" s="28"/>
      <c r="D52" s="24" t="s">
        <v>285</v>
      </c>
      <c r="E52" s="24"/>
      <c r="F52" s="25"/>
      <c r="G52" s="26"/>
      <c r="H52" s="26"/>
      <c r="I52" s="25"/>
      <c r="J52" s="26" t="str">
        <f>IF(M52="是",K51,"")</f>
        <v/>
      </c>
      <c r="K52" s="47" t="e">
        <f>_xlfn.WORKDAY.INTL(J52,L52,1,法定节假日!B2:B31)</f>
        <v>#VALUE!</v>
      </c>
      <c r="L52" s="26"/>
      <c r="M52" s="26"/>
      <c r="N52" s="41"/>
      <c r="O52" s="41"/>
      <c r="P52" s="26">
        <f t="shared" si="0"/>
        <v>0</v>
      </c>
      <c r="Q52" s="25"/>
      <c r="R52" s="25"/>
      <c r="S52" s="25" t="s">
        <v>225</v>
      </c>
      <c r="T52" s="25"/>
      <c r="U52" s="22"/>
    </row>
  </sheetData>
  <mergeCells count="43">
    <mergeCell ref="J1:K1"/>
    <mergeCell ref="N1:O1"/>
    <mergeCell ref="Q1:R1"/>
    <mergeCell ref="S1:T1"/>
    <mergeCell ref="A1:A2"/>
    <mergeCell ref="B1:B2"/>
    <mergeCell ref="B4:B5"/>
    <mergeCell ref="B6:B7"/>
    <mergeCell ref="B8:B12"/>
    <mergeCell ref="B13:B16"/>
    <mergeCell ref="B18:B19"/>
    <mergeCell ref="B20:B23"/>
    <mergeCell ref="B24:B25"/>
    <mergeCell ref="B27:B28"/>
    <mergeCell ref="B29:B33"/>
    <mergeCell ref="B35:B37"/>
    <mergeCell ref="B38:B40"/>
    <mergeCell ref="B41:B43"/>
    <mergeCell ref="B45:B46"/>
    <mergeCell ref="B50:B52"/>
    <mergeCell ref="C1:C2"/>
    <mergeCell ref="C4:C5"/>
    <mergeCell ref="C6:C7"/>
    <mergeCell ref="C8:C12"/>
    <mergeCell ref="C13:C16"/>
    <mergeCell ref="C18:C19"/>
    <mergeCell ref="C20:C23"/>
    <mergeCell ref="C24:C25"/>
    <mergeCell ref="C27:C28"/>
    <mergeCell ref="C29:C33"/>
    <mergeCell ref="C35:C37"/>
    <mergeCell ref="C38:C40"/>
    <mergeCell ref="C41:C43"/>
    <mergeCell ref="C45:C46"/>
    <mergeCell ref="C50:C52"/>
    <mergeCell ref="D1:D2"/>
    <mergeCell ref="E1:E2"/>
    <mergeCell ref="F1:F2"/>
    <mergeCell ref="G1:G2"/>
    <mergeCell ref="H1:H2"/>
    <mergeCell ref="I1:I2"/>
    <mergeCell ref="M1:M2"/>
    <mergeCell ref="U1:U2"/>
  </mergeCells>
  <dataValidations count="2">
    <dataValidation type="list" allowBlank="1" showInputMessage="1" showErrorMessage="1" sqref="M4:M52">
      <formula1>"是"</formula1>
    </dataValidation>
    <dataValidation type="list" allowBlank="1" showInputMessage="1" showErrorMessage="1" sqref="S4:S16 S18:S25 S27:S33 S35:S46 S48:S52">
      <formula1>"未完成,进行中,已完成"</formula1>
    </dataValidation>
  </dataValidations>
  <pageMargins left="0.7" right="0.7" top="0.75" bottom="0.75" header="0.3" footer="0.3"/>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U33"/>
  <sheetViews>
    <sheetView workbookViewId="0">
      <selection activeCell="A1" sqref="A1:A2"/>
    </sheetView>
  </sheetViews>
  <sheetFormatPr defaultColWidth="8.83333333333333" defaultRowHeight="14" customHeight="1"/>
  <cols>
    <col min="3" max="3" width="28.1666666666667" style="1" customWidth="1"/>
    <col min="4" max="4" width="28.6666666666667" style="1" customWidth="1"/>
    <col min="5" max="5" width="22.6666666666667" style="1" customWidth="1"/>
    <col min="6" max="9" width="7.5" style="1" customWidth="1"/>
    <col min="10" max="12" width="10.1666666666667" style="1" customWidth="1"/>
    <col min="13" max="13" width="11.5" style="1" customWidth="1"/>
    <col min="14" max="16" width="10.1666666666667" style="1" customWidth="1"/>
    <col min="19" max="19" width="9" style="6"/>
    <col min="20" max="20" width="11.6666666666667" style="1" customWidth="1"/>
  </cols>
  <sheetData>
    <row r="1" ht="16.5" customHeight="1" spans="1:21">
      <c r="A1" s="7" t="s">
        <v>11</v>
      </c>
      <c r="B1" s="7" t="s">
        <v>12</v>
      </c>
      <c r="C1" s="8" t="s">
        <v>13</v>
      </c>
      <c r="D1" s="9" t="s">
        <v>216</v>
      </c>
      <c r="E1" s="9" t="s">
        <v>217</v>
      </c>
      <c r="F1" s="8" t="s">
        <v>6</v>
      </c>
      <c r="G1" s="7" t="s">
        <v>17</v>
      </c>
      <c r="H1" s="7" t="s">
        <v>18</v>
      </c>
      <c r="I1" s="7" t="s">
        <v>240</v>
      </c>
      <c r="J1" s="10" t="s">
        <v>20</v>
      </c>
      <c r="K1" s="10"/>
      <c r="L1" s="11" t="s">
        <v>21</v>
      </c>
      <c r="M1" s="12" t="s">
        <v>22</v>
      </c>
      <c r="N1" s="11" t="s">
        <v>218</v>
      </c>
      <c r="O1" s="13"/>
      <c r="P1" s="13" t="s">
        <v>21</v>
      </c>
      <c r="Q1" s="10" t="s">
        <v>23</v>
      </c>
      <c r="R1" s="10"/>
      <c r="S1" s="10" t="s">
        <v>16</v>
      </c>
      <c r="T1" s="10"/>
      <c r="U1" s="12" t="s">
        <v>219</v>
      </c>
    </row>
    <row r="2" ht="33" customHeight="1" spans="1:21">
      <c r="A2" s="7"/>
      <c r="B2" s="7"/>
      <c r="C2" s="8"/>
      <c r="D2" s="14"/>
      <c r="E2" s="14"/>
      <c r="F2" s="8"/>
      <c r="G2" s="8"/>
      <c r="H2" s="8"/>
      <c r="I2" s="8"/>
      <c r="J2" s="10" t="s">
        <v>27</v>
      </c>
      <c r="K2" s="10" t="s">
        <v>28</v>
      </c>
      <c r="L2" s="10" t="s">
        <v>29</v>
      </c>
      <c r="M2" s="15"/>
      <c r="N2" s="10" t="s">
        <v>220</v>
      </c>
      <c r="O2" s="10" t="s">
        <v>221</v>
      </c>
      <c r="P2" s="10" t="s">
        <v>222</v>
      </c>
      <c r="Q2" s="10" t="s">
        <v>30</v>
      </c>
      <c r="R2" s="10" t="s">
        <v>31</v>
      </c>
      <c r="S2" s="10" t="s">
        <v>25</v>
      </c>
      <c r="T2" s="10" t="s">
        <v>26</v>
      </c>
      <c r="U2" s="15"/>
    </row>
    <row r="3" customHeight="1" spans="1:21">
      <c r="A3" s="16">
        <v>3.1</v>
      </c>
      <c r="B3" s="16"/>
      <c r="C3" s="16" t="s">
        <v>115</v>
      </c>
      <c r="D3" s="16"/>
      <c r="E3" s="16"/>
      <c r="F3" s="18"/>
      <c r="G3" s="19"/>
      <c r="H3" s="19"/>
      <c r="I3" s="18"/>
      <c r="J3" s="39">
        <f>主计划!M40</f>
        <v>0</v>
      </c>
      <c r="K3" s="39">
        <f>主计划!N40</f>
        <v>0</v>
      </c>
      <c r="L3" s="19">
        <f>主计划!O40</f>
        <v>0</v>
      </c>
      <c r="M3" s="19"/>
      <c r="N3" s="39">
        <f>MIN(N4:N9)</f>
        <v>0</v>
      </c>
      <c r="O3" s="39">
        <f>MAX(O4:O9)</f>
        <v>0</v>
      </c>
      <c r="P3" s="19">
        <f t="shared" ref="P3:P33" si="0">NETWORKDAYS(N3,O3)</f>
        <v>0</v>
      </c>
      <c r="Q3" s="18"/>
      <c r="R3" s="18"/>
      <c r="S3" s="21" t="str">
        <f>IF(COUNTIF(S4:S9,"未完成")=COUNTA(S4:S9),"未完成",IF(COUNTIF(S4:S9,"已完成")=COUNTA(S4:S9),"已完成","进行中"))</f>
        <v>未完成</v>
      </c>
      <c r="T3" s="18"/>
      <c r="U3" s="22"/>
    </row>
    <row r="4" customHeight="1" spans="1:21">
      <c r="A4" s="23"/>
      <c r="B4" s="30" t="s">
        <v>116</v>
      </c>
      <c r="C4" s="30" t="s">
        <v>117</v>
      </c>
      <c r="D4" s="24" t="s">
        <v>286</v>
      </c>
      <c r="E4" s="24"/>
      <c r="F4" s="25"/>
      <c r="G4" s="26"/>
      <c r="H4" s="26"/>
      <c r="I4" s="29"/>
      <c r="J4" s="41"/>
      <c r="K4" s="47">
        <f>_xlfn.WORKDAY.INTL(J4,L4,1,法定节假日!B2:B31)</f>
        <v>0</v>
      </c>
      <c r="L4" s="26"/>
      <c r="M4" s="26"/>
      <c r="N4" s="41"/>
      <c r="O4" s="41"/>
      <c r="P4" s="26">
        <f t="shared" si="0"/>
        <v>0</v>
      </c>
      <c r="Q4" s="25"/>
      <c r="R4" s="25"/>
      <c r="S4" s="29" t="s">
        <v>225</v>
      </c>
      <c r="T4" s="25"/>
      <c r="U4" s="22"/>
    </row>
    <row r="5" customHeight="1" spans="1:21">
      <c r="A5" s="23"/>
      <c r="B5" s="31"/>
      <c r="C5" s="31"/>
      <c r="D5" s="24" t="s">
        <v>287</v>
      </c>
      <c r="E5" s="24"/>
      <c r="F5" s="25"/>
      <c r="G5" s="26"/>
      <c r="H5" s="26"/>
      <c r="I5" s="29"/>
      <c r="J5" s="26" t="str">
        <f>IF(M5="是",K4,"")</f>
        <v/>
      </c>
      <c r="K5" s="47" t="e">
        <f>_xlfn.WORKDAY.INTL(J5,L5,1,法定节假日!B2:B31)</f>
        <v>#VALUE!</v>
      </c>
      <c r="L5" s="26"/>
      <c r="M5" s="26"/>
      <c r="N5" s="41"/>
      <c r="O5" s="41"/>
      <c r="P5" s="26">
        <f t="shared" si="0"/>
        <v>0</v>
      </c>
      <c r="Q5" s="25"/>
      <c r="R5" s="25"/>
      <c r="S5" s="29" t="s">
        <v>225</v>
      </c>
      <c r="T5" s="25"/>
      <c r="U5" s="22"/>
    </row>
    <row r="6" customHeight="1" spans="1:21">
      <c r="A6" s="23"/>
      <c r="B6" s="32"/>
      <c r="C6" s="32"/>
      <c r="D6" s="24" t="s">
        <v>288</v>
      </c>
      <c r="E6" s="24"/>
      <c r="F6" s="25"/>
      <c r="G6" s="26" t="s">
        <v>37</v>
      </c>
      <c r="H6" s="26"/>
      <c r="I6" s="26" t="s">
        <v>37</v>
      </c>
      <c r="J6" s="26" t="str">
        <f>IF(M6="是",K5,"")</f>
        <v/>
      </c>
      <c r="K6" s="47" t="e">
        <f>_xlfn.WORKDAY.INTL(J6,L6,1,法定节假日!B2:B31)</f>
        <v>#VALUE!</v>
      </c>
      <c r="L6" s="26"/>
      <c r="M6" s="26"/>
      <c r="N6" s="41"/>
      <c r="O6" s="41"/>
      <c r="P6" s="26">
        <f t="shared" si="0"/>
        <v>0</v>
      </c>
      <c r="Q6" s="25"/>
      <c r="R6" s="25"/>
      <c r="S6" s="29" t="s">
        <v>225</v>
      </c>
      <c r="T6" s="25"/>
      <c r="U6" s="22"/>
    </row>
    <row r="7" customHeight="1" spans="1:21">
      <c r="A7" s="23"/>
      <c r="B7" s="48" t="s">
        <v>119</v>
      </c>
      <c r="C7" s="30" t="s">
        <v>120</v>
      </c>
      <c r="D7" s="24" t="s">
        <v>289</v>
      </c>
      <c r="E7" s="24"/>
      <c r="F7" s="25"/>
      <c r="G7" s="26"/>
      <c r="H7" s="26"/>
      <c r="I7" s="26"/>
      <c r="J7" s="26" t="str">
        <f>IF(M7="是",K6,"")</f>
        <v/>
      </c>
      <c r="K7" s="47" t="e">
        <f>_xlfn.WORKDAY.INTL(J7,L7,1,法定节假日!B2:B31)</f>
        <v>#VALUE!</v>
      </c>
      <c r="L7" s="26"/>
      <c r="M7" s="26"/>
      <c r="N7" s="41"/>
      <c r="O7" s="41"/>
      <c r="P7" s="26">
        <f t="shared" si="0"/>
        <v>0</v>
      </c>
      <c r="Q7" s="25"/>
      <c r="R7" s="25"/>
      <c r="S7" s="29" t="s">
        <v>225</v>
      </c>
      <c r="T7" s="25"/>
      <c r="U7" s="22"/>
    </row>
    <row r="8" customHeight="1" spans="1:21">
      <c r="A8" s="23"/>
      <c r="B8" s="49"/>
      <c r="C8" s="31"/>
      <c r="D8" s="24" t="s">
        <v>290</v>
      </c>
      <c r="E8" s="24"/>
      <c r="F8" s="25"/>
      <c r="G8" s="26" t="s">
        <v>37</v>
      </c>
      <c r="H8" s="26" t="s">
        <v>37</v>
      </c>
      <c r="I8" s="26" t="s">
        <v>37</v>
      </c>
      <c r="J8" s="26" t="str">
        <f>IF(M8="是",K7,"")</f>
        <v/>
      </c>
      <c r="K8" s="47" t="e">
        <f>_xlfn.WORKDAY.INTL(J8,L8,1,法定节假日!B2:B31)</f>
        <v>#VALUE!</v>
      </c>
      <c r="L8" s="26"/>
      <c r="M8" s="26"/>
      <c r="N8" s="41"/>
      <c r="O8" s="41"/>
      <c r="P8" s="26">
        <f t="shared" si="0"/>
        <v>0</v>
      </c>
      <c r="Q8" s="25"/>
      <c r="R8" s="25"/>
      <c r="S8" s="29" t="s">
        <v>225</v>
      </c>
      <c r="T8" s="25"/>
      <c r="U8" s="22"/>
    </row>
    <row r="9" customHeight="1" spans="1:21">
      <c r="A9" s="23"/>
      <c r="B9" s="50"/>
      <c r="C9" s="32"/>
      <c r="D9" s="24" t="s">
        <v>291</v>
      </c>
      <c r="E9" s="24"/>
      <c r="F9" s="25"/>
      <c r="G9" s="26"/>
      <c r="H9" s="26"/>
      <c r="I9" s="26" t="s">
        <v>37</v>
      </c>
      <c r="J9" s="26" t="str">
        <f>IF(M9="是",K8,"")</f>
        <v/>
      </c>
      <c r="K9" s="47" t="e">
        <f>_xlfn.WORKDAY.INTL(J9,L9,1,法定节假日!B2:B31)</f>
        <v>#VALUE!</v>
      </c>
      <c r="L9" s="26"/>
      <c r="M9" s="26"/>
      <c r="N9" s="41"/>
      <c r="O9" s="41"/>
      <c r="P9" s="26">
        <f t="shared" si="0"/>
        <v>0</v>
      </c>
      <c r="Q9" s="25"/>
      <c r="R9" s="25"/>
      <c r="S9" s="29" t="s">
        <v>225</v>
      </c>
      <c r="T9" s="25"/>
      <c r="U9" s="22"/>
    </row>
    <row r="10" customHeight="1" spans="1:21">
      <c r="A10" s="16">
        <v>3.2</v>
      </c>
      <c r="B10" s="16"/>
      <c r="C10" s="16" t="s">
        <v>292</v>
      </c>
      <c r="D10" s="16"/>
      <c r="E10" s="16"/>
      <c r="F10" s="18"/>
      <c r="G10" s="19"/>
      <c r="H10" s="19"/>
      <c r="I10" s="18"/>
      <c r="J10" s="39" t="str">
        <f>主计划!M43</f>
        <v/>
      </c>
      <c r="K10" s="39" t="e">
        <f>主计划!N43</f>
        <v>#VALUE!</v>
      </c>
      <c r="L10" s="19">
        <f>主计划!O43</f>
        <v>0</v>
      </c>
      <c r="M10" s="19"/>
      <c r="N10" s="39">
        <f>MIN(N11:N18)</f>
        <v>0</v>
      </c>
      <c r="O10" s="39">
        <f>MAX(O11:O18)</f>
        <v>0</v>
      </c>
      <c r="P10" s="19">
        <f t="shared" si="0"/>
        <v>0</v>
      </c>
      <c r="Q10" s="18"/>
      <c r="R10" s="18"/>
      <c r="S10" s="21" t="str">
        <f>IF(COUNTIF(S11:S18,"未完成")=COUNTA(S11:S18),"未完成",IF(COUNTIF(S11:S18,"已完成")=COUNTA(S11:S18),"已完成","进行中"))</f>
        <v>未完成</v>
      </c>
      <c r="T10" s="18"/>
      <c r="U10" s="22"/>
    </row>
    <row r="11" ht="16.5" customHeight="1" spans="1:21">
      <c r="A11" s="23"/>
      <c r="B11" s="30" t="s">
        <v>123</v>
      </c>
      <c r="C11" s="30" t="s">
        <v>124</v>
      </c>
      <c r="D11" s="24" t="s">
        <v>293</v>
      </c>
      <c r="E11" s="51"/>
      <c r="F11" s="25"/>
      <c r="G11" s="26"/>
      <c r="H11" s="26"/>
      <c r="I11" s="25"/>
      <c r="J11" s="41"/>
      <c r="K11" s="47">
        <f>_xlfn.WORKDAY.INTL(J11,L11,1,法定节假日!B2:B31)</f>
        <v>0</v>
      </c>
      <c r="L11" s="26"/>
      <c r="M11" s="26"/>
      <c r="N11" s="41"/>
      <c r="O11" s="41"/>
      <c r="P11" s="26">
        <f t="shared" si="0"/>
        <v>0</v>
      </c>
      <c r="Q11" s="25"/>
      <c r="R11" s="25"/>
      <c r="S11" s="29" t="s">
        <v>225</v>
      </c>
      <c r="T11" s="25"/>
      <c r="U11" s="22"/>
    </row>
    <row r="12" ht="16.5" customHeight="1" spans="1:21">
      <c r="A12" s="23"/>
      <c r="B12" s="31"/>
      <c r="C12" s="31"/>
      <c r="D12" s="24" t="s">
        <v>294</v>
      </c>
      <c r="E12" s="51"/>
      <c r="F12" s="25"/>
      <c r="G12" s="26"/>
      <c r="H12" s="26"/>
      <c r="I12" s="25"/>
      <c r="J12" s="26" t="str">
        <f>IF(M12="是",K11,"")</f>
        <v/>
      </c>
      <c r="K12" s="47" t="e">
        <f>_xlfn.WORKDAY.INTL(J12,L12,1,法定节假日!B2:B31)</f>
        <v>#VALUE!</v>
      </c>
      <c r="L12" s="26"/>
      <c r="M12" s="26"/>
      <c r="N12" s="41"/>
      <c r="O12" s="41"/>
      <c r="P12" s="26">
        <f t="shared" si="0"/>
        <v>0</v>
      </c>
      <c r="Q12" s="25"/>
      <c r="R12" s="25"/>
      <c r="S12" s="29" t="s">
        <v>225</v>
      </c>
      <c r="T12" s="25"/>
      <c r="U12" s="22"/>
    </row>
    <row r="13" ht="16.5" customHeight="1" spans="1:21">
      <c r="A13" s="23"/>
      <c r="B13" s="32"/>
      <c r="C13" s="32"/>
      <c r="D13" s="24" t="s">
        <v>295</v>
      </c>
      <c r="E13" s="51"/>
      <c r="F13" s="25"/>
      <c r="G13" s="26"/>
      <c r="H13" s="26"/>
      <c r="I13" s="25"/>
      <c r="J13" s="26" t="str">
        <f>IF(M13="是",K12,"")</f>
        <v/>
      </c>
      <c r="K13" s="47" t="e">
        <f>_xlfn.WORKDAY.INTL(J13,L13,1,法定节假日!B2:B31)</f>
        <v>#VALUE!</v>
      </c>
      <c r="L13" s="26"/>
      <c r="M13" s="26"/>
      <c r="N13" s="41"/>
      <c r="O13" s="41"/>
      <c r="P13" s="26">
        <f t="shared" si="0"/>
        <v>0</v>
      </c>
      <c r="Q13" s="25"/>
      <c r="R13" s="25"/>
      <c r="S13" s="29" t="s">
        <v>225</v>
      </c>
      <c r="T13" s="25"/>
      <c r="U13" s="22"/>
    </row>
    <row r="14" ht="16.5" customHeight="1" spans="1:21">
      <c r="A14" s="23"/>
      <c r="B14" s="28" t="s">
        <v>126</v>
      </c>
      <c r="C14" s="52" t="s">
        <v>127</v>
      </c>
      <c r="D14" s="24" t="s">
        <v>127</v>
      </c>
      <c r="E14" s="51"/>
      <c r="F14" s="25"/>
      <c r="G14" s="26"/>
      <c r="H14" s="26"/>
      <c r="I14" s="25"/>
      <c r="J14" s="41" t="str">
        <f>主计划!M45</f>
        <v/>
      </c>
      <c r="K14" s="41" t="e">
        <f>主计划!N45</f>
        <v>#VALUE!</v>
      </c>
      <c r="L14" s="26">
        <f>主计划!O45</f>
        <v>0</v>
      </c>
      <c r="M14" s="26"/>
      <c r="N14" s="41"/>
      <c r="O14" s="41"/>
      <c r="P14" s="26">
        <f t="shared" si="0"/>
        <v>0</v>
      </c>
      <c r="Q14" s="25"/>
      <c r="R14" s="25"/>
      <c r="S14" s="29" t="s">
        <v>225</v>
      </c>
      <c r="T14" s="25"/>
      <c r="U14" s="22"/>
    </row>
    <row r="15" ht="16.5" customHeight="1" spans="1:21">
      <c r="A15" s="23"/>
      <c r="B15" s="28" t="s">
        <v>128</v>
      </c>
      <c r="C15" s="52" t="s">
        <v>129</v>
      </c>
      <c r="D15" s="24" t="s">
        <v>129</v>
      </c>
      <c r="E15" s="51"/>
      <c r="F15" s="25"/>
      <c r="G15" s="26"/>
      <c r="H15" s="26"/>
      <c r="I15" s="25"/>
      <c r="J15" s="41" t="str">
        <f>主计划!M46</f>
        <v/>
      </c>
      <c r="K15" s="41" t="e">
        <f>主计划!N46</f>
        <v>#VALUE!</v>
      </c>
      <c r="L15" s="26">
        <f>主计划!O46</f>
        <v>0</v>
      </c>
      <c r="M15" s="26"/>
      <c r="N15" s="41"/>
      <c r="O15" s="41"/>
      <c r="P15" s="26">
        <f t="shared" si="0"/>
        <v>0</v>
      </c>
      <c r="Q15" s="25"/>
      <c r="R15" s="25"/>
      <c r="S15" s="29" t="s">
        <v>225</v>
      </c>
      <c r="T15" s="25"/>
      <c r="U15" s="22"/>
    </row>
    <row r="16" ht="16.5" customHeight="1" spans="1:21">
      <c r="A16" s="23"/>
      <c r="B16" s="30" t="s">
        <v>131</v>
      </c>
      <c r="C16" s="30" t="s">
        <v>132</v>
      </c>
      <c r="D16" s="35" t="s">
        <v>296</v>
      </c>
      <c r="E16" s="51"/>
      <c r="F16" s="25"/>
      <c r="G16" s="26"/>
      <c r="H16" s="26"/>
      <c r="I16" s="25"/>
      <c r="J16" s="26" t="str">
        <f>IF(M16="是",K15,"")</f>
        <v/>
      </c>
      <c r="K16" s="47" t="e">
        <f>_xlfn.WORKDAY.INTL(J16,L16,1,法定节假日!B2:B31)</f>
        <v>#VALUE!</v>
      </c>
      <c r="L16" s="26"/>
      <c r="M16" s="26"/>
      <c r="N16" s="41"/>
      <c r="O16" s="41"/>
      <c r="P16" s="26">
        <f t="shared" si="0"/>
        <v>0</v>
      </c>
      <c r="Q16" s="25"/>
      <c r="R16" s="25"/>
      <c r="S16" s="29" t="s">
        <v>225</v>
      </c>
      <c r="T16" s="25"/>
      <c r="U16" s="22"/>
    </row>
    <row r="17" ht="16.5" customHeight="1" spans="1:21">
      <c r="A17" s="23"/>
      <c r="B17" s="31"/>
      <c r="C17" s="31"/>
      <c r="D17" s="35" t="s">
        <v>297</v>
      </c>
      <c r="E17" s="51"/>
      <c r="F17" s="25"/>
      <c r="G17" s="26"/>
      <c r="H17" s="26"/>
      <c r="I17" s="25"/>
      <c r="J17" s="26" t="str">
        <f>IF(M17="是",K16,"")</f>
        <v/>
      </c>
      <c r="K17" s="47" t="e">
        <f>_xlfn.WORKDAY.INTL(J17,L17,1,法定节假日!B2:B31)</f>
        <v>#VALUE!</v>
      </c>
      <c r="L17" s="26"/>
      <c r="M17" s="26"/>
      <c r="N17" s="41"/>
      <c r="O17" s="41"/>
      <c r="P17" s="26">
        <f t="shared" si="0"/>
        <v>0</v>
      </c>
      <c r="Q17" s="25"/>
      <c r="R17" s="25"/>
      <c r="S17" s="29" t="s">
        <v>225</v>
      </c>
      <c r="T17" s="25"/>
      <c r="U17" s="22"/>
    </row>
    <row r="18" ht="16.5" customHeight="1" spans="1:21">
      <c r="A18" s="23"/>
      <c r="B18" s="32"/>
      <c r="C18" s="32"/>
      <c r="D18" s="35" t="s">
        <v>132</v>
      </c>
      <c r="E18" s="51"/>
      <c r="F18" s="25"/>
      <c r="G18" s="26"/>
      <c r="H18" s="26"/>
      <c r="I18" s="25"/>
      <c r="J18" s="26" t="str">
        <f>IF(M18="是",K17,"")</f>
        <v/>
      </c>
      <c r="K18" s="47" t="e">
        <f>_xlfn.WORKDAY.INTL(J18,L18,1,法定节假日!B2:B31)</f>
        <v>#VALUE!</v>
      </c>
      <c r="L18" s="26"/>
      <c r="M18" s="26"/>
      <c r="N18" s="41"/>
      <c r="O18" s="41"/>
      <c r="P18" s="26">
        <f t="shared" si="0"/>
        <v>0</v>
      </c>
      <c r="Q18" s="25"/>
      <c r="R18" s="25"/>
      <c r="S18" s="29" t="s">
        <v>225</v>
      </c>
      <c r="T18" s="25"/>
      <c r="U18" s="22"/>
    </row>
    <row r="19" customHeight="1" spans="1:21">
      <c r="A19" s="16">
        <v>3.3</v>
      </c>
      <c r="B19" s="16"/>
      <c r="C19" s="16" t="s">
        <v>133</v>
      </c>
      <c r="D19" s="16"/>
      <c r="E19" s="16"/>
      <c r="F19" s="16"/>
      <c r="G19" s="16"/>
      <c r="H19" s="16"/>
      <c r="I19" s="16"/>
      <c r="J19" s="39" t="str">
        <f>主计划!M48</f>
        <v/>
      </c>
      <c r="K19" s="39" t="e">
        <f>主计划!N48</f>
        <v>#VALUE!</v>
      </c>
      <c r="L19" s="19">
        <f>主计划!O48</f>
        <v>0</v>
      </c>
      <c r="M19" s="19"/>
      <c r="N19" s="39">
        <f>MIN(N20:N32)</f>
        <v>0</v>
      </c>
      <c r="O19" s="39">
        <f>MAX(O20:O32)</f>
        <v>0</v>
      </c>
      <c r="P19" s="19">
        <f t="shared" si="0"/>
        <v>0</v>
      </c>
      <c r="Q19" s="16"/>
      <c r="R19" s="16"/>
      <c r="S19" s="21" t="str">
        <f>IF(COUNTIF(S20:S32,"未完成")=COUNTA(S20:S32),"未完成",IF(COUNTIF(S20:S32,"已完成")=COUNTA(S20:S32),"已完成","进行中"))</f>
        <v>未完成</v>
      </c>
      <c r="T19" s="16"/>
      <c r="U19" s="22"/>
    </row>
    <row r="20" ht="16.5" customHeight="1" spans="1:21">
      <c r="A20" s="23"/>
      <c r="B20" s="30" t="s">
        <v>134</v>
      </c>
      <c r="C20" s="30" t="s">
        <v>67</v>
      </c>
      <c r="D20" s="24" t="s">
        <v>244</v>
      </c>
      <c r="E20" s="51"/>
      <c r="F20" s="25"/>
      <c r="G20" s="26"/>
      <c r="H20" s="26"/>
      <c r="I20" s="25"/>
      <c r="J20" s="41"/>
      <c r="K20" s="47">
        <f>_xlfn.WORKDAY.INTL(J20,L20,1,法定节假日!B2:B31)</f>
        <v>0</v>
      </c>
      <c r="L20" s="26"/>
      <c r="M20" s="26"/>
      <c r="N20" s="41"/>
      <c r="O20" s="41"/>
      <c r="P20" s="26">
        <f t="shared" si="0"/>
        <v>0</v>
      </c>
      <c r="Q20" s="25"/>
      <c r="R20" s="25"/>
      <c r="S20" s="29" t="s">
        <v>225</v>
      </c>
      <c r="T20" s="25"/>
      <c r="U20" s="22"/>
    </row>
    <row r="21" customHeight="1" spans="1:21">
      <c r="A21" s="23"/>
      <c r="B21" s="32"/>
      <c r="C21" s="32"/>
      <c r="D21" s="24" t="s">
        <v>246</v>
      </c>
      <c r="E21" s="25"/>
      <c r="F21" s="25"/>
      <c r="G21" s="26"/>
      <c r="H21" s="26"/>
      <c r="I21" s="25"/>
      <c r="J21" s="26" t="str">
        <f t="shared" ref="J21:J31" si="1">IF(M21="是",K20,"")</f>
        <v/>
      </c>
      <c r="K21" s="47" t="e">
        <f>_xlfn.WORKDAY.INTL(J21,L21,1,法定节假日!B2:B31)</f>
        <v>#VALUE!</v>
      </c>
      <c r="L21" s="26"/>
      <c r="M21" s="26"/>
      <c r="N21" s="41"/>
      <c r="O21" s="41"/>
      <c r="P21" s="26">
        <f t="shared" si="0"/>
        <v>0</v>
      </c>
      <c r="Q21" s="25"/>
      <c r="R21" s="25"/>
      <c r="S21" s="29" t="s">
        <v>225</v>
      </c>
      <c r="T21" s="25"/>
      <c r="U21" s="22"/>
    </row>
    <row r="22" customHeight="1" spans="1:21">
      <c r="A22" s="23"/>
      <c r="B22" s="30" t="s">
        <v>135</v>
      </c>
      <c r="C22" s="30" t="s">
        <v>136</v>
      </c>
      <c r="D22" s="24" t="s">
        <v>298</v>
      </c>
      <c r="E22" s="25"/>
      <c r="F22" s="25"/>
      <c r="G22" s="26"/>
      <c r="H22" s="26"/>
      <c r="I22" s="25"/>
      <c r="J22" s="26" t="str">
        <f t="shared" si="1"/>
        <v/>
      </c>
      <c r="K22" s="47" t="e">
        <f>_xlfn.WORKDAY.INTL(J22,L22,1,法定节假日!B2:B31)</f>
        <v>#VALUE!</v>
      </c>
      <c r="L22" s="26"/>
      <c r="M22" s="26"/>
      <c r="N22" s="41"/>
      <c r="O22" s="41"/>
      <c r="P22" s="26">
        <f t="shared" si="0"/>
        <v>0</v>
      </c>
      <c r="Q22" s="25"/>
      <c r="R22" s="25"/>
      <c r="S22" s="29" t="s">
        <v>225</v>
      </c>
      <c r="T22" s="25"/>
      <c r="U22" s="22"/>
    </row>
    <row r="23" customHeight="1" spans="1:21">
      <c r="A23" s="23"/>
      <c r="B23" s="31"/>
      <c r="C23" s="31"/>
      <c r="D23" s="24" t="s">
        <v>293</v>
      </c>
      <c r="E23" s="24"/>
      <c r="F23" s="25"/>
      <c r="G23" s="26"/>
      <c r="H23" s="26"/>
      <c r="I23" s="25"/>
      <c r="J23" s="26" t="str">
        <f t="shared" si="1"/>
        <v/>
      </c>
      <c r="K23" s="47" t="e">
        <f>_xlfn.WORKDAY.INTL(J23,L23,1,法定节假日!B2:B31)</f>
        <v>#VALUE!</v>
      </c>
      <c r="L23" s="26"/>
      <c r="M23" s="26"/>
      <c r="N23" s="41"/>
      <c r="O23" s="41"/>
      <c r="P23" s="26">
        <f t="shared" si="0"/>
        <v>0</v>
      </c>
      <c r="Q23" s="25"/>
      <c r="R23" s="25"/>
      <c r="S23" s="29" t="s">
        <v>225</v>
      </c>
      <c r="T23" s="25"/>
      <c r="U23" s="22"/>
    </row>
    <row r="24" customHeight="1" spans="1:21">
      <c r="A24" s="23"/>
      <c r="B24" s="31"/>
      <c r="C24" s="31"/>
      <c r="D24" s="24" t="s">
        <v>294</v>
      </c>
      <c r="E24" s="24"/>
      <c r="F24" s="25"/>
      <c r="G24" s="26"/>
      <c r="H24" s="26"/>
      <c r="I24" s="25"/>
      <c r="J24" s="26" t="str">
        <f t="shared" si="1"/>
        <v/>
      </c>
      <c r="K24" s="47" t="e">
        <f>_xlfn.WORKDAY.INTL(J24,L24,1,法定节假日!B2:B31)</f>
        <v>#VALUE!</v>
      </c>
      <c r="L24" s="26"/>
      <c r="M24" s="26"/>
      <c r="N24" s="41"/>
      <c r="O24" s="41"/>
      <c r="P24" s="26">
        <f t="shared" si="0"/>
        <v>0</v>
      </c>
      <c r="Q24" s="25"/>
      <c r="R24" s="25"/>
      <c r="S24" s="29" t="s">
        <v>225</v>
      </c>
      <c r="T24" s="25"/>
      <c r="U24" s="22"/>
    </row>
    <row r="25" ht="16.5" customHeight="1" spans="1:21">
      <c r="A25" s="23"/>
      <c r="B25" s="31"/>
      <c r="C25" s="31"/>
      <c r="D25" s="24" t="s">
        <v>299</v>
      </c>
      <c r="E25" s="51"/>
      <c r="F25" s="25"/>
      <c r="G25" s="26"/>
      <c r="H25" s="26"/>
      <c r="I25" s="25"/>
      <c r="J25" s="26" t="str">
        <f t="shared" si="1"/>
        <v/>
      </c>
      <c r="K25" s="47" t="e">
        <f>_xlfn.WORKDAY.INTL(J25,L25,1,法定节假日!B2:B31)</f>
        <v>#VALUE!</v>
      </c>
      <c r="L25" s="26"/>
      <c r="M25" s="26"/>
      <c r="N25" s="41"/>
      <c r="O25" s="41"/>
      <c r="P25" s="26">
        <f t="shared" si="0"/>
        <v>0</v>
      </c>
      <c r="Q25" s="25"/>
      <c r="R25" s="25"/>
      <c r="S25" s="29" t="s">
        <v>225</v>
      </c>
      <c r="T25" s="25"/>
      <c r="U25" s="22"/>
    </row>
    <row r="26" ht="16.5" customHeight="1" spans="1:21">
      <c r="A26" s="23"/>
      <c r="B26" s="32"/>
      <c r="C26" s="32"/>
      <c r="D26" s="24" t="s">
        <v>300</v>
      </c>
      <c r="E26" s="51"/>
      <c r="F26" s="25"/>
      <c r="G26" s="26"/>
      <c r="H26" s="26"/>
      <c r="I26" s="25"/>
      <c r="J26" s="26" t="str">
        <f t="shared" si="1"/>
        <v/>
      </c>
      <c r="K26" s="47" t="e">
        <f>_xlfn.WORKDAY.INTL(J26,L26,1,法定节假日!B2:B31)</f>
        <v>#VALUE!</v>
      </c>
      <c r="L26" s="26"/>
      <c r="M26" s="26"/>
      <c r="N26" s="41"/>
      <c r="O26" s="41"/>
      <c r="P26" s="26">
        <f t="shared" si="0"/>
        <v>0</v>
      </c>
      <c r="Q26" s="25"/>
      <c r="R26" s="25"/>
      <c r="S26" s="29" t="s">
        <v>225</v>
      </c>
      <c r="T26" s="25"/>
      <c r="U26" s="22"/>
    </row>
    <row r="27" ht="16.5" customHeight="1" spans="1:21">
      <c r="A27" s="23"/>
      <c r="B27" s="30" t="s">
        <v>138</v>
      </c>
      <c r="C27" s="30" t="s">
        <v>139</v>
      </c>
      <c r="D27" s="24" t="s">
        <v>301</v>
      </c>
      <c r="E27" s="51"/>
      <c r="F27" s="25"/>
      <c r="G27" s="26"/>
      <c r="H27" s="26"/>
      <c r="I27" s="25"/>
      <c r="J27" s="26" t="str">
        <f t="shared" si="1"/>
        <v/>
      </c>
      <c r="K27" s="47" t="e">
        <f>_xlfn.WORKDAY.INTL(J27,L27,1,法定节假日!B2:B31)</f>
        <v>#VALUE!</v>
      </c>
      <c r="L27" s="26"/>
      <c r="M27" s="26"/>
      <c r="N27" s="41"/>
      <c r="O27" s="41"/>
      <c r="P27" s="26">
        <f t="shared" si="0"/>
        <v>0</v>
      </c>
      <c r="Q27" s="25"/>
      <c r="R27" s="25"/>
      <c r="S27" s="29" t="s">
        <v>225</v>
      </c>
      <c r="T27" s="25"/>
      <c r="U27" s="22"/>
    </row>
    <row r="28" ht="16.5" customHeight="1" spans="1:21">
      <c r="A28" s="23"/>
      <c r="B28" s="31"/>
      <c r="C28" s="31"/>
      <c r="D28" s="24" t="s">
        <v>293</v>
      </c>
      <c r="E28" s="51"/>
      <c r="F28" s="25"/>
      <c r="G28" s="26"/>
      <c r="H28" s="26"/>
      <c r="I28" s="25"/>
      <c r="J28" s="26" t="str">
        <f t="shared" si="1"/>
        <v/>
      </c>
      <c r="K28" s="47" t="e">
        <f>_xlfn.WORKDAY.INTL(J28,L28,1,法定节假日!B2:B31)</f>
        <v>#VALUE!</v>
      </c>
      <c r="L28" s="26"/>
      <c r="M28" s="26"/>
      <c r="N28" s="41"/>
      <c r="O28" s="41"/>
      <c r="P28" s="26">
        <f t="shared" si="0"/>
        <v>0</v>
      </c>
      <c r="Q28" s="25"/>
      <c r="R28" s="25"/>
      <c r="S28" s="29" t="s">
        <v>225</v>
      </c>
      <c r="T28" s="25"/>
      <c r="U28" s="22"/>
    </row>
    <row r="29" ht="16.5" customHeight="1" spans="1:21">
      <c r="A29" s="23"/>
      <c r="B29" s="31"/>
      <c r="C29" s="31"/>
      <c r="D29" s="24" t="s">
        <v>294</v>
      </c>
      <c r="E29" s="51"/>
      <c r="F29" s="25"/>
      <c r="G29" s="26"/>
      <c r="H29" s="26"/>
      <c r="I29" s="25"/>
      <c r="J29" s="26" t="str">
        <f t="shared" si="1"/>
        <v/>
      </c>
      <c r="K29" s="47" t="e">
        <f>_xlfn.WORKDAY.INTL(J29,L29,1,法定节假日!B2:B31)</f>
        <v>#VALUE!</v>
      </c>
      <c r="L29" s="26"/>
      <c r="M29" s="26"/>
      <c r="N29" s="41"/>
      <c r="O29" s="41"/>
      <c r="P29" s="26">
        <f t="shared" si="0"/>
        <v>0</v>
      </c>
      <c r="Q29" s="25"/>
      <c r="R29" s="25"/>
      <c r="S29" s="29" t="s">
        <v>225</v>
      </c>
      <c r="T29" s="25"/>
      <c r="U29" s="22"/>
    </row>
    <row r="30" ht="16.5" customHeight="1" spans="1:21">
      <c r="A30" s="23"/>
      <c r="B30" s="31"/>
      <c r="C30" s="31"/>
      <c r="D30" s="24" t="s">
        <v>302</v>
      </c>
      <c r="E30" s="51"/>
      <c r="F30" s="25"/>
      <c r="G30" s="26"/>
      <c r="H30" s="26"/>
      <c r="I30" s="25"/>
      <c r="J30" s="26" t="str">
        <f t="shared" si="1"/>
        <v/>
      </c>
      <c r="K30" s="47" t="e">
        <f>_xlfn.WORKDAY.INTL(J30,L30,1,法定节假日!B2:B31)</f>
        <v>#VALUE!</v>
      </c>
      <c r="L30" s="26"/>
      <c r="M30" s="26"/>
      <c r="N30" s="41"/>
      <c r="O30" s="41"/>
      <c r="P30" s="26">
        <f t="shared" si="0"/>
        <v>0</v>
      </c>
      <c r="Q30" s="25"/>
      <c r="R30" s="25"/>
      <c r="S30" s="29" t="s">
        <v>225</v>
      </c>
      <c r="T30" s="25"/>
      <c r="U30" s="22"/>
    </row>
    <row r="31" ht="16.5" customHeight="1" spans="1:21">
      <c r="A31" s="23"/>
      <c r="B31" s="32"/>
      <c r="C31" s="32"/>
      <c r="D31" s="24" t="s">
        <v>303</v>
      </c>
      <c r="E31" s="51"/>
      <c r="F31" s="25"/>
      <c r="G31" s="26"/>
      <c r="H31" s="26"/>
      <c r="I31" s="25"/>
      <c r="J31" s="26" t="str">
        <f t="shared" si="1"/>
        <v/>
      </c>
      <c r="K31" s="47" t="e">
        <f>_xlfn.WORKDAY.INTL(J31,L31,1,法定节假日!B2:B31)</f>
        <v>#VALUE!</v>
      </c>
      <c r="L31" s="26"/>
      <c r="M31" s="26"/>
      <c r="N31" s="41"/>
      <c r="O31" s="41"/>
      <c r="P31" s="26">
        <f t="shared" si="0"/>
        <v>0</v>
      </c>
      <c r="Q31" s="25"/>
      <c r="R31" s="25"/>
      <c r="S31" s="29" t="s">
        <v>225</v>
      </c>
      <c r="T31" s="25"/>
      <c r="U31" s="22"/>
    </row>
    <row r="32" ht="14.25" customHeight="1" spans="1:21">
      <c r="A32" s="23"/>
      <c r="B32" s="28" t="s">
        <v>140</v>
      </c>
      <c r="C32" s="28" t="s">
        <v>304</v>
      </c>
      <c r="D32" s="24" t="s">
        <v>305</v>
      </c>
      <c r="E32" s="24"/>
      <c r="F32" s="26"/>
      <c r="G32" s="26" t="s">
        <v>37</v>
      </c>
      <c r="H32" s="26" t="s">
        <v>37</v>
      </c>
      <c r="I32" s="26" t="s">
        <v>37</v>
      </c>
      <c r="J32" s="41" t="str">
        <f>主计划!M52</f>
        <v/>
      </c>
      <c r="K32" s="41" t="e">
        <f>主计划!N52</f>
        <v>#VALUE!</v>
      </c>
      <c r="L32" s="26">
        <f>主计划!O52</f>
        <v>0</v>
      </c>
      <c r="M32" s="26"/>
      <c r="N32" s="41"/>
      <c r="O32" s="41"/>
      <c r="P32" s="26">
        <f t="shared" si="0"/>
        <v>0</v>
      </c>
      <c r="Q32" s="25"/>
      <c r="R32" s="25"/>
      <c r="S32" s="29" t="s">
        <v>225</v>
      </c>
      <c r="T32" s="25"/>
      <c r="U32" s="22"/>
    </row>
    <row r="33" ht="14.25" customHeight="1" spans="1:21">
      <c r="A33" s="23"/>
      <c r="B33" s="23" t="s">
        <v>143</v>
      </c>
      <c r="C33" s="23"/>
      <c r="D33" s="23"/>
      <c r="E33" s="23"/>
      <c r="F33" s="23"/>
      <c r="G33" s="23"/>
      <c r="H33" s="23"/>
      <c r="I33" s="23"/>
      <c r="J33" s="23"/>
      <c r="K33" s="53">
        <f>主计划!N53</f>
        <v>0</v>
      </c>
      <c r="L33" s="23"/>
      <c r="M33" s="23"/>
      <c r="N33" s="23"/>
      <c r="O33" s="23"/>
      <c r="P33" s="26">
        <f t="shared" si="0"/>
        <v>0</v>
      </c>
      <c r="Q33" s="23"/>
      <c r="R33" s="23"/>
      <c r="S33" s="29" t="s">
        <v>225</v>
      </c>
      <c r="T33" s="23"/>
      <c r="U33" s="23"/>
    </row>
  </sheetData>
  <mergeCells count="29">
    <mergeCell ref="J1:K1"/>
    <mergeCell ref="N1:O1"/>
    <mergeCell ref="Q1:R1"/>
    <mergeCell ref="S1:T1"/>
    <mergeCell ref="A1:A2"/>
    <mergeCell ref="B1:B2"/>
    <mergeCell ref="B4:B6"/>
    <mergeCell ref="B7:B9"/>
    <mergeCell ref="B11:B13"/>
    <mergeCell ref="B16:B18"/>
    <mergeCell ref="B20:B21"/>
    <mergeCell ref="B22:B26"/>
    <mergeCell ref="B27:B31"/>
    <mergeCell ref="C1:C2"/>
    <mergeCell ref="C4:C6"/>
    <mergeCell ref="C7:C9"/>
    <mergeCell ref="C11:C13"/>
    <mergeCell ref="C16:C18"/>
    <mergeCell ref="C20:C21"/>
    <mergeCell ref="C22:C26"/>
    <mergeCell ref="C27:C31"/>
    <mergeCell ref="D1:D2"/>
    <mergeCell ref="E1:E2"/>
    <mergeCell ref="F1:F2"/>
    <mergeCell ref="G1:G2"/>
    <mergeCell ref="H1:H2"/>
    <mergeCell ref="I1:I2"/>
    <mergeCell ref="M1:M2"/>
    <mergeCell ref="U1:U2"/>
  </mergeCells>
  <dataValidations count="2">
    <dataValidation type="list" allowBlank="1" showInputMessage="1" showErrorMessage="1" sqref="M4:M32">
      <formula1>"是"</formula1>
    </dataValidation>
    <dataValidation type="list" allowBlank="1" showInputMessage="1" showErrorMessage="1" sqref="S4:S9 S11:S18 S20:S33">
      <formula1>"未完成,进行中,已完成"</formula1>
    </dataValidation>
  </dataValidations>
  <pageMargins left="0.7" right="0.7" top="0.75" bottom="0.75" header="0.3" footer="0.3"/>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U37"/>
  <sheetViews>
    <sheetView workbookViewId="0">
      <selection activeCell="A1" sqref="A1:A2"/>
    </sheetView>
  </sheetViews>
  <sheetFormatPr defaultColWidth="8.83333333333333" defaultRowHeight="14" customHeight="1"/>
  <cols>
    <col min="3" max="4" width="26" style="1" customWidth="1"/>
    <col min="5" max="5" width="18.6666666666667" style="1" customWidth="1"/>
    <col min="6" max="9" width="8.33333333333333" style="1" customWidth="1"/>
    <col min="10" max="12" width="10.8333333333333" style="1" customWidth="1"/>
    <col min="13" max="13" width="12.5" style="1" customWidth="1"/>
    <col min="14" max="16" width="10.8333333333333" style="1" customWidth="1"/>
    <col min="19" max="19" width="9" style="6"/>
  </cols>
  <sheetData>
    <row r="1" s="37" customFormat="1" ht="16.5" customHeight="1" spans="1:21">
      <c r="A1" s="7" t="s">
        <v>11</v>
      </c>
      <c r="B1" s="7" t="s">
        <v>12</v>
      </c>
      <c r="C1" s="8" t="s">
        <v>13</v>
      </c>
      <c r="D1" s="9" t="s">
        <v>216</v>
      </c>
      <c r="E1" s="9" t="s">
        <v>217</v>
      </c>
      <c r="F1" s="8" t="s">
        <v>6</v>
      </c>
      <c r="G1" s="7" t="s">
        <v>17</v>
      </c>
      <c r="H1" s="7" t="s">
        <v>18</v>
      </c>
      <c r="I1" s="7" t="s">
        <v>240</v>
      </c>
      <c r="J1" s="10" t="s">
        <v>20</v>
      </c>
      <c r="K1" s="10"/>
      <c r="L1" s="11" t="s">
        <v>21</v>
      </c>
      <c r="M1" s="12" t="s">
        <v>22</v>
      </c>
      <c r="N1" s="11" t="s">
        <v>218</v>
      </c>
      <c r="O1" s="13"/>
      <c r="P1" s="13" t="s">
        <v>21</v>
      </c>
      <c r="Q1" s="10" t="s">
        <v>23</v>
      </c>
      <c r="R1" s="10"/>
      <c r="S1" s="10" t="s">
        <v>16</v>
      </c>
      <c r="T1" s="10"/>
      <c r="U1" s="12" t="s">
        <v>219</v>
      </c>
    </row>
    <row r="2" s="38" customFormat="1" ht="33" customHeight="1" spans="1:21">
      <c r="A2" s="7"/>
      <c r="B2" s="7"/>
      <c r="C2" s="8"/>
      <c r="D2" s="14"/>
      <c r="E2" s="14"/>
      <c r="F2" s="8"/>
      <c r="G2" s="8"/>
      <c r="H2" s="8"/>
      <c r="I2" s="8"/>
      <c r="J2" s="10" t="s">
        <v>27</v>
      </c>
      <c r="K2" s="10" t="s">
        <v>28</v>
      </c>
      <c r="L2" s="10" t="s">
        <v>29</v>
      </c>
      <c r="M2" s="15"/>
      <c r="N2" s="10" t="s">
        <v>220</v>
      </c>
      <c r="O2" s="10" t="s">
        <v>221</v>
      </c>
      <c r="P2" s="10" t="s">
        <v>222</v>
      </c>
      <c r="Q2" s="10" t="s">
        <v>30</v>
      </c>
      <c r="R2" s="10" t="s">
        <v>31</v>
      </c>
      <c r="S2" s="10" t="s">
        <v>25</v>
      </c>
      <c r="T2" s="10" t="s">
        <v>26</v>
      </c>
      <c r="U2" s="15"/>
    </row>
    <row r="3" s="37" customFormat="1" customHeight="1" spans="1:21">
      <c r="A3" s="16">
        <v>4.1</v>
      </c>
      <c r="B3" s="16"/>
      <c r="C3" s="16" t="s">
        <v>145</v>
      </c>
      <c r="D3" s="16"/>
      <c r="E3" s="16"/>
      <c r="F3" s="18"/>
      <c r="G3" s="19"/>
      <c r="H3" s="19"/>
      <c r="I3" s="18"/>
      <c r="J3" s="39">
        <f>主计划!M55</f>
        <v>0</v>
      </c>
      <c r="K3" s="39">
        <f>主计划!N55</f>
        <v>0</v>
      </c>
      <c r="L3" s="19">
        <f>主计划!O55</f>
        <v>0</v>
      </c>
      <c r="M3" s="19"/>
      <c r="N3" s="39">
        <f>MIN(N4:N11)</f>
        <v>0</v>
      </c>
      <c r="O3" s="39">
        <f>MAX(O4:O11)</f>
        <v>0</v>
      </c>
      <c r="P3" s="19">
        <f t="shared" ref="P3:P37" si="0">NETWORKDAYS(N3,O3)</f>
        <v>0</v>
      </c>
      <c r="Q3" s="18"/>
      <c r="R3" s="18"/>
      <c r="S3" s="21" t="str">
        <f>IF(COUNTIF(S4:S11,"未完成")=COUNTA(S4:S11),"未完成",IF(COUNTIF(S4:S11,"已完成")=COUNTA(S4:S11),"已完成","进行中"))</f>
        <v>未完成</v>
      </c>
      <c r="T3" s="18"/>
      <c r="U3" s="22"/>
    </row>
    <row r="4" s="37" customFormat="1" customHeight="1" spans="1:21">
      <c r="A4" s="23"/>
      <c r="B4" s="40"/>
      <c r="C4" s="30" t="s">
        <v>147</v>
      </c>
      <c r="D4" s="24" t="s">
        <v>306</v>
      </c>
      <c r="E4" s="24"/>
      <c r="F4" s="25"/>
      <c r="G4" s="26" t="s">
        <v>37</v>
      </c>
      <c r="H4" s="26" t="s">
        <v>37</v>
      </c>
      <c r="I4" s="26" t="s">
        <v>37</v>
      </c>
      <c r="J4" s="41">
        <f>主计划!M56</f>
        <v>0</v>
      </c>
      <c r="K4" s="41">
        <f>主计划!N56</f>
        <v>0</v>
      </c>
      <c r="L4" s="26">
        <f>主计划!O56</f>
        <v>0</v>
      </c>
      <c r="M4" s="26"/>
      <c r="N4" s="41"/>
      <c r="O4" s="41"/>
      <c r="P4" s="26">
        <f t="shared" si="0"/>
        <v>0</v>
      </c>
      <c r="Q4" s="25"/>
      <c r="R4" s="25"/>
      <c r="S4" s="29" t="s">
        <v>225</v>
      </c>
      <c r="T4" s="25"/>
      <c r="U4" s="22"/>
    </row>
    <row r="5" s="37" customFormat="1" customHeight="1" spans="1:21">
      <c r="A5" s="23"/>
      <c r="B5" s="40"/>
      <c r="C5" s="30" t="s">
        <v>148</v>
      </c>
      <c r="D5" s="24" t="s">
        <v>307</v>
      </c>
      <c r="E5" s="24"/>
      <c r="F5" s="25"/>
      <c r="G5" s="26"/>
      <c r="H5" s="26"/>
      <c r="I5" s="25"/>
      <c r="J5" s="41" t="str">
        <f t="shared" ref="J5:J10" si="1">IF(M5="是",K4,"")</f>
        <v/>
      </c>
      <c r="K5" s="41" t="e">
        <f>_xlfn.WORKDAY.INTL(J5,L5,1,法定节假日!B2:B31)</f>
        <v>#VALUE!</v>
      </c>
      <c r="L5" s="26"/>
      <c r="M5" s="26"/>
      <c r="N5" s="41"/>
      <c r="O5" s="41"/>
      <c r="P5" s="26">
        <f t="shared" si="0"/>
        <v>0</v>
      </c>
      <c r="Q5" s="25"/>
      <c r="R5" s="25"/>
      <c r="S5" s="29" t="s">
        <v>225</v>
      </c>
      <c r="T5" s="25"/>
      <c r="U5" s="22"/>
    </row>
    <row r="6" s="37" customFormat="1" customHeight="1" spans="1:21">
      <c r="A6" s="23"/>
      <c r="B6" s="42"/>
      <c r="C6" s="31"/>
      <c r="D6" s="24" t="s">
        <v>308</v>
      </c>
      <c r="E6" s="24"/>
      <c r="F6" s="25"/>
      <c r="G6" s="26"/>
      <c r="H6" s="26"/>
      <c r="I6" s="25"/>
      <c r="J6" s="41" t="str">
        <f t="shared" si="1"/>
        <v/>
      </c>
      <c r="K6" s="41" t="e">
        <f>_xlfn.WORKDAY.INTL(J6,L6,1,法定节假日!B2:B31)</f>
        <v>#VALUE!</v>
      </c>
      <c r="L6" s="26"/>
      <c r="M6" s="26"/>
      <c r="N6" s="41"/>
      <c r="O6" s="41"/>
      <c r="P6" s="26">
        <f t="shared" si="0"/>
        <v>0</v>
      </c>
      <c r="Q6" s="25"/>
      <c r="R6" s="25"/>
      <c r="S6" s="29" t="s">
        <v>225</v>
      </c>
      <c r="T6" s="25"/>
      <c r="U6" s="22"/>
    </row>
    <row r="7" s="37" customFormat="1" customHeight="1" spans="1:21">
      <c r="A7" s="23"/>
      <c r="B7" s="42"/>
      <c r="C7" s="31"/>
      <c r="D7" s="24" t="s">
        <v>309</v>
      </c>
      <c r="E7" s="24"/>
      <c r="F7" s="25"/>
      <c r="G7" s="26"/>
      <c r="H7" s="26"/>
      <c r="I7" s="25"/>
      <c r="J7" s="41" t="str">
        <f t="shared" si="1"/>
        <v/>
      </c>
      <c r="K7" s="41" t="e">
        <f>_xlfn.WORKDAY.INTL(J7,L7,1,法定节假日!B2:B31)</f>
        <v>#VALUE!</v>
      </c>
      <c r="L7" s="26"/>
      <c r="M7" s="26"/>
      <c r="N7" s="41"/>
      <c r="O7" s="41"/>
      <c r="P7" s="26">
        <f t="shared" si="0"/>
        <v>0</v>
      </c>
      <c r="Q7" s="25"/>
      <c r="R7" s="25"/>
      <c r="S7" s="29" t="s">
        <v>225</v>
      </c>
      <c r="T7" s="25"/>
      <c r="U7" s="22"/>
    </row>
    <row r="8" s="37" customFormat="1" customHeight="1" spans="1:21">
      <c r="A8" s="23"/>
      <c r="B8" s="43"/>
      <c r="C8" s="32"/>
      <c r="D8" s="24" t="s">
        <v>310</v>
      </c>
      <c r="E8" s="24"/>
      <c r="F8" s="25"/>
      <c r="G8" s="26"/>
      <c r="H8" s="26"/>
      <c r="I8" s="25"/>
      <c r="J8" s="41" t="str">
        <f t="shared" si="1"/>
        <v/>
      </c>
      <c r="K8" s="41" t="e">
        <f>_xlfn.WORKDAY.INTL(J8,L8,1,法定节假日!B2:B31)</f>
        <v>#VALUE!</v>
      </c>
      <c r="L8" s="26"/>
      <c r="M8" s="26"/>
      <c r="N8" s="41"/>
      <c r="O8" s="41"/>
      <c r="P8" s="26">
        <f t="shared" si="0"/>
        <v>0</v>
      </c>
      <c r="Q8" s="25"/>
      <c r="R8" s="25"/>
      <c r="S8" s="29" t="s">
        <v>225</v>
      </c>
      <c r="T8" s="25"/>
      <c r="U8" s="22"/>
    </row>
    <row r="9" s="37" customFormat="1" customHeight="1" spans="1:21">
      <c r="A9" s="23"/>
      <c r="B9" s="40"/>
      <c r="C9" s="30" t="s">
        <v>151</v>
      </c>
      <c r="D9" s="24" t="s">
        <v>311</v>
      </c>
      <c r="E9" s="24"/>
      <c r="F9" s="25"/>
      <c r="G9" s="26"/>
      <c r="H9" s="26"/>
      <c r="I9" s="25"/>
      <c r="J9" s="41" t="str">
        <f t="shared" si="1"/>
        <v/>
      </c>
      <c r="K9" s="41" t="e">
        <f>_xlfn.WORKDAY.INTL(J9,L9,1,法定节假日!B2:B31)</f>
        <v>#VALUE!</v>
      </c>
      <c r="L9" s="26"/>
      <c r="M9" s="26"/>
      <c r="N9" s="41"/>
      <c r="O9" s="41"/>
      <c r="P9" s="26">
        <f t="shared" si="0"/>
        <v>0</v>
      </c>
      <c r="Q9" s="25"/>
      <c r="R9" s="25"/>
      <c r="S9" s="29" t="s">
        <v>225</v>
      </c>
      <c r="T9" s="25"/>
      <c r="U9" s="22"/>
    </row>
    <row r="10" s="37" customFormat="1" customHeight="1" spans="1:21">
      <c r="A10" s="23"/>
      <c r="B10" s="43"/>
      <c r="C10" s="32"/>
      <c r="D10" s="24" t="s">
        <v>312</v>
      </c>
      <c r="E10" s="24"/>
      <c r="F10" s="25"/>
      <c r="G10" s="26"/>
      <c r="H10" s="26" t="s">
        <v>37</v>
      </c>
      <c r="I10" s="26" t="s">
        <v>37</v>
      </c>
      <c r="J10" s="41" t="str">
        <f t="shared" si="1"/>
        <v/>
      </c>
      <c r="K10" s="41" t="e">
        <f>_xlfn.WORKDAY.INTL(J10,L10,1,法定节假日!B2:B31)</f>
        <v>#VALUE!</v>
      </c>
      <c r="L10" s="26"/>
      <c r="M10" s="26"/>
      <c r="N10" s="41"/>
      <c r="O10" s="41"/>
      <c r="P10" s="26">
        <f t="shared" si="0"/>
        <v>0</v>
      </c>
      <c r="Q10" s="25"/>
      <c r="R10" s="25"/>
      <c r="S10" s="29" t="s">
        <v>225</v>
      </c>
      <c r="T10" s="25"/>
      <c r="U10" s="22"/>
    </row>
    <row r="11" s="37" customFormat="1" customHeight="1" spans="1:21">
      <c r="A11" s="23"/>
      <c r="B11" s="23"/>
      <c r="C11" s="24" t="s">
        <v>154</v>
      </c>
      <c r="D11" s="24" t="s">
        <v>154</v>
      </c>
      <c r="E11" s="24"/>
      <c r="F11" s="25"/>
      <c r="G11" s="26"/>
      <c r="H11" s="26"/>
      <c r="I11" s="25"/>
      <c r="J11" s="41" t="str">
        <f>主计划!M59</f>
        <v/>
      </c>
      <c r="K11" s="41" t="e">
        <f>主计划!N59</f>
        <v>#VALUE!</v>
      </c>
      <c r="L11" s="26">
        <f>主计划!O59</f>
        <v>0</v>
      </c>
      <c r="M11" s="26"/>
      <c r="N11" s="41"/>
      <c r="O11" s="41"/>
      <c r="P11" s="26">
        <f t="shared" si="0"/>
        <v>0</v>
      </c>
      <c r="Q11" s="25"/>
      <c r="R11" s="25"/>
      <c r="S11" s="29" t="s">
        <v>225</v>
      </c>
      <c r="T11" s="25"/>
      <c r="U11" s="22"/>
    </row>
    <row r="12" s="37" customFormat="1" customHeight="1" spans="1:21">
      <c r="A12" s="16">
        <v>4.2</v>
      </c>
      <c r="B12" s="16"/>
      <c r="C12" s="16" t="s">
        <v>156</v>
      </c>
      <c r="D12" s="16"/>
      <c r="E12" s="16"/>
      <c r="F12" s="18"/>
      <c r="G12" s="19"/>
      <c r="H12" s="19"/>
      <c r="I12" s="18"/>
      <c r="J12" s="39" t="str">
        <f>主计划!M60</f>
        <v/>
      </c>
      <c r="K12" s="39" t="e">
        <f>主计划!N60</f>
        <v>#VALUE!</v>
      </c>
      <c r="L12" s="19">
        <f>主计划!O60</f>
        <v>0</v>
      </c>
      <c r="M12" s="19"/>
      <c r="N12" s="39">
        <f>MIN(N13:N15)</f>
        <v>0</v>
      </c>
      <c r="O12" s="39">
        <f>MAX(O13:O15)</f>
        <v>0</v>
      </c>
      <c r="P12" s="19">
        <f t="shared" si="0"/>
        <v>0</v>
      </c>
      <c r="Q12" s="18"/>
      <c r="R12" s="18"/>
      <c r="S12" s="21" t="str">
        <f>IF(COUNTIF(S13:S15,"未完成")=COUNTA(S13:S15),"未完成",IF(COUNTIF(S13:S15,"已完成")=COUNTA(S13:S15),"已完成","进行中"))</f>
        <v>未完成</v>
      </c>
      <c r="T12" s="18"/>
      <c r="U12" s="22"/>
    </row>
    <row r="13" s="37" customFormat="1" customHeight="1" spans="1:21">
      <c r="A13" s="23"/>
      <c r="B13" s="40"/>
      <c r="C13" s="30" t="s">
        <v>158</v>
      </c>
      <c r="D13" s="24" t="s">
        <v>313</v>
      </c>
      <c r="E13" s="24"/>
      <c r="F13" s="25"/>
      <c r="G13" s="26"/>
      <c r="H13" s="26"/>
      <c r="I13" s="25"/>
      <c r="J13" s="41"/>
      <c r="K13" s="41">
        <f>_xlfn.WORKDAY.INTL(J13,L13,1,法定节假日!B2:B31)</f>
        <v>0</v>
      </c>
      <c r="L13" s="26"/>
      <c r="M13" s="26"/>
      <c r="N13" s="41"/>
      <c r="O13" s="41"/>
      <c r="P13" s="26">
        <f t="shared" si="0"/>
        <v>0</v>
      </c>
      <c r="Q13" s="25"/>
      <c r="R13" s="25"/>
      <c r="S13" s="29" t="s">
        <v>225</v>
      </c>
      <c r="T13" s="25"/>
      <c r="U13" s="22"/>
    </row>
    <row r="14" s="37" customFormat="1" customHeight="1" spans="1:21">
      <c r="A14" s="23"/>
      <c r="B14" s="43"/>
      <c r="C14" s="32"/>
      <c r="D14" s="24" t="s">
        <v>314</v>
      </c>
      <c r="E14" s="24"/>
      <c r="F14" s="25"/>
      <c r="G14" s="26"/>
      <c r="H14" s="26"/>
      <c r="I14" s="25"/>
      <c r="J14" s="41" t="str">
        <f>IF(M14="是",K13,"")</f>
        <v/>
      </c>
      <c r="K14" s="41" t="e">
        <f>_xlfn.WORKDAY.INTL(J14,L14,1,法定节假日!B2:B31)</f>
        <v>#VALUE!</v>
      </c>
      <c r="L14" s="26"/>
      <c r="M14" s="26"/>
      <c r="N14" s="41"/>
      <c r="O14" s="41"/>
      <c r="P14" s="26">
        <f t="shared" si="0"/>
        <v>0</v>
      </c>
      <c r="Q14" s="25"/>
      <c r="R14" s="25"/>
      <c r="S14" s="29" t="s">
        <v>225</v>
      </c>
      <c r="T14" s="25"/>
      <c r="U14" s="22"/>
    </row>
    <row r="15" s="37" customFormat="1" customHeight="1" spans="1:21">
      <c r="A15" s="23"/>
      <c r="B15" s="23"/>
      <c r="C15" s="30" t="s">
        <v>161</v>
      </c>
      <c r="D15" s="24" t="s">
        <v>315</v>
      </c>
      <c r="E15" s="24"/>
      <c r="F15" s="25"/>
      <c r="G15" s="26" t="s">
        <v>37</v>
      </c>
      <c r="H15" s="26" t="s">
        <v>37</v>
      </c>
      <c r="I15" s="26" t="s">
        <v>37</v>
      </c>
      <c r="J15" s="41" t="str">
        <f>主计划!M62</f>
        <v/>
      </c>
      <c r="K15" s="41" t="e">
        <f>主计划!N62</f>
        <v>#VALUE!</v>
      </c>
      <c r="L15" s="26">
        <f>主计划!O62</f>
        <v>0</v>
      </c>
      <c r="M15" s="26"/>
      <c r="N15" s="41"/>
      <c r="O15" s="41"/>
      <c r="P15" s="26">
        <f t="shared" si="0"/>
        <v>0</v>
      </c>
      <c r="Q15" s="25"/>
      <c r="R15" s="25"/>
      <c r="S15" s="29" t="s">
        <v>225</v>
      </c>
      <c r="T15" s="25"/>
      <c r="U15" s="22"/>
    </row>
    <row r="16" s="37" customFormat="1" customHeight="1" spans="1:21">
      <c r="A16" s="16">
        <v>4.3</v>
      </c>
      <c r="B16" s="16"/>
      <c r="C16" s="16" t="s">
        <v>163</v>
      </c>
      <c r="D16" s="16"/>
      <c r="E16" s="16"/>
      <c r="F16" s="18"/>
      <c r="G16" s="19"/>
      <c r="H16" s="19"/>
      <c r="I16" s="18"/>
      <c r="J16" s="39" t="str">
        <f>主计划!M63</f>
        <v/>
      </c>
      <c r="K16" s="39" t="e">
        <f>主计划!N63</f>
        <v>#VALUE!</v>
      </c>
      <c r="L16" s="19">
        <f>主计划!O63</f>
        <v>0</v>
      </c>
      <c r="M16" s="19"/>
      <c r="N16" s="39">
        <f>MAX(N17:N29)</f>
        <v>0</v>
      </c>
      <c r="O16" s="39">
        <f>MIN(O17:O29)</f>
        <v>0</v>
      </c>
      <c r="P16" s="19">
        <f t="shared" si="0"/>
        <v>0</v>
      </c>
      <c r="Q16" s="18"/>
      <c r="R16" s="18"/>
      <c r="S16" s="21" t="str">
        <f>IF(COUNTIF(S17:S29,"未完成")=COUNTA(S17:S29),"未完成",IF(COUNTIF(S17:S29,"已完成")=COUNTA(S17:S29),"已完成","进行中"))</f>
        <v>未完成</v>
      </c>
      <c r="T16" s="18"/>
      <c r="U16" s="22"/>
    </row>
    <row r="17" s="37" customFormat="1" customHeight="1" spans="1:21">
      <c r="A17" s="23"/>
      <c r="B17" s="40"/>
      <c r="C17" s="30" t="s">
        <v>165</v>
      </c>
      <c r="D17" s="25" t="s">
        <v>316</v>
      </c>
      <c r="E17" s="25"/>
      <c r="F17" s="25"/>
      <c r="G17" s="26" t="s">
        <v>37</v>
      </c>
      <c r="H17" s="26" t="s">
        <v>37</v>
      </c>
      <c r="I17" s="26" t="s">
        <v>37</v>
      </c>
      <c r="J17" s="41"/>
      <c r="K17" s="41">
        <f>_xlfn.WORKDAY.INTL(J17,L17,1,法定节假日!B2:B31)</f>
        <v>0</v>
      </c>
      <c r="L17" s="26"/>
      <c r="M17" s="26"/>
      <c r="N17" s="41"/>
      <c r="O17" s="41"/>
      <c r="P17" s="26">
        <f t="shared" si="0"/>
        <v>0</v>
      </c>
      <c r="Q17" s="25"/>
      <c r="R17" s="25"/>
      <c r="S17" s="29" t="s">
        <v>225</v>
      </c>
      <c r="T17" s="25"/>
      <c r="U17" s="22"/>
    </row>
    <row r="18" s="37" customFormat="1" customHeight="1" spans="1:21">
      <c r="A18" s="23"/>
      <c r="B18" s="43"/>
      <c r="C18" s="32"/>
      <c r="D18" s="25" t="s">
        <v>317</v>
      </c>
      <c r="E18" s="25"/>
      <c r="F18" s="25"/>
      <c r="G18" s="26"/>
      <c r="H18" s="26" t="s">
        <v>37</v>
      </c>
      <c r="I18" s="26"/>
      <c r="J18" s="41" t="str">
        <f t="shared" ref="J18:J28" si="2">IF(M18="是",K17,"")</f>
        <v/>
      </c>
      <c r="K18" s="41" t="e">
        <f>_xlfn.WORKDAY.INTL(J18,L18,1,法定节假日!B2:B31)</f>
        <v>#VALUE!</v>
      </c>
      <c r="L18" s="26"/>
      <c r="M18" s="26"/>
      <c r="N18" s="41"/>
      <c r="O18" s="41"/>
      <c r="P18" s="26">
        <f t="shared" si="0"/>
        <v>0</v>
      </c>
      <c r="Q18" s="25"/>
      <c r="R18" s="25"/>
      <c r="S18" s="29" t="s">
        <v>225</v>
      </c>
      <c r="T18" s="25"/>
      <c r="U18" s="22"/>
    </row>
    <row r="19" s="37" customFormat="1" ht="16.5" customHeight="1" spans="1:21">
      <c r="A19" s="23"/>
      <c r="B19" s="40"/>
      <c r="C19" s="44" t="s">
        <v>168</v>
      </c>
      <c r="D19" s="25" t="s">
        <v>318</v>
      </c>
      <c r="E19" s="25"/>
      <c r="F19" s="25"/>
      <c r="G19" s="26"/>
      <c r="H19" s="26"/>
      <c r="I19" s="26"/>
      <c r="J19" s="41" t="str">
        <f t="shared" si="2"/>
        <v/>
      </c>
      <c r="K19" s="41" t="e">
        <f>_xlfn.WORKDAY.INTL(J19,L19,1,法定节假日!B2:B31)</f>
        <v>#VALUE!</v>
      </c>
      <c r="L19" s="26"/>
      <c r="M19" s="26"/>
      <c r="N19" s="41"/>
      <c r="O19" s="41"/>
      <c r="P19" s="26">
        <f t="shared" si="0"/>
        <v>0</v>
      </c>
      <c r="Q19" s="25"/>
      <c r="R19" s="25"/>
      <c r="S19" s="29" t="s">
        <v>225</v>
      </c>
      <c r="T19" s="25"/>
      <c r="U19" s="22"/>
    </row>
    <row r="20" s="37" customFormat="1" ht="16.5" customHeight="1" spans="1:21">
      <c r="A20" s="23"/>
      <c r="B20" s="42"/>
      <c r="C20" s="45"/>
      <c r="D20" s="24" t="s">
        <v>319</v>
      </c>
      <c r="E20" s="24"/>
      <c r="F20" s="25"/>
      <c r="G20" s="26"/>
      <c r="H20" s="26"/>
      <c r="I20" s="25"/>
      <c r="J20" s="41" t="str">
        <f t="shared" si="2"/>
        <v/>
      </c>
      <c r="K20" s="41" t="e">
        <f>_xlfn.WORKDAY.INTL(J20,L20,1,法定节假日!B2:B31)</f>
        <v>#VALUE!</v>
      </c>
      <c r="L20" s="26"/>
      <c r="M20" s="26"/>
      <c r="N20" s="41"/>
      <c r="O20" s="41"/>
      <c r="P20" s="26">
        <f t="shared" si="0"/>
        <v>0</v>
      </c>
      <c r="Q20" s="25"/>
      <c r="R20" s="25"/>
      <c r="S20" s="29" t="s">
        <v>225</v>
      </c>
      <c r="T20" s="25"/>
      <c r="U20" s="22"/>
    </row>
    <row r="21" s="37" customFormat="1" ht="16.5" customHeight="1" spans="1:21">
      <c r="A21" s="23"/>
      <c r="B21" s="43"/>
      <c r="C21" s="45"/>
      <c r="D21" s="24" t="s">
        <v>320</v>
      </c>
      <c r="E21" s="46"/>
      <c r="F21" s="25"/>
      <c r="G21" s="26"/>
      <c r="H21" s="26"/>
      <c r="I21" s="25"/>
      <c r="J21" s="41" t="str">
        <f t="shared" si="2"/>
        <v/>
      </c>
      <c r="K21" s="41" t="e">
        <f>_xlfn.WORKDAY.INTL(J21,L21,1,法定节假日!B2:B31)</f>
        <v>#VALUE!</v>
      </c>
      <c r="L21" s="26"/>
      <c r="M21" s="26"/>
      <c r="N21" s="41"/>
      <c r="O21" s="41"/>
      <c r="P21" s="26">
        <f t="shared" si="0"/>
        <v>0</v>
      </c>
      <c r="Q21" s="25"/>
      <c r="R21" s="25"/>
      <c r="S21" s="29" t="s">
        <v>225</v>
      </c>
      <c r="T21" s="25"/>
      <c r="U21" s="22"/>
    </row>
    <row r="22" s="37" customFormat="1" customHeight="1" spans="1:21">
      <c r="A22" s="23"/>
      <c r="B22" s="40"/>
      <c r="C22" s="30" t="s">
        <v>170</v>
      </c>
      <c r="D22" s="24" t="s">
        <v>321</v>
      </c>
      <c r="E22" s="24"/>
      <c r="F22" s="25"/>
      <c r="G22" s="26"/>
      <c r="H22" s="26"/>
      <c r="I22" s="25"/>
      <c r="J22" s="41" t="str">
        <f t="shared" si="2"/>
        <v/>
      </c>
      <c r="K22" s="41" t="e">
        <f>_xlfn.WORKDAY.INTL(J22,L22,1,法定节假日!B2:B31)</f>
        <v>#VALUE!</v>
      </c>
      <c r="L22" s="26"/>
      <c r="M22" s="26"/>
      <c r="N22" s="41"/>
      <c r="O22" s="41"/>
      <c r="P22" s="26">
        <f t="shared" si="0"/>
        <v>0</v>
      </c>
      <c r="Q22" s="25"/>
      <c r="R22" s="25"/>
      <c r="S22" s="29" t="s">
        <v>225</v>
      </c>
      <c r="T22" s="25"/>
      <c r="U22" s="22"/>
    </row>
    <row r="23" s="37" customFormat="1" customHeight="1" spans="1:21">
      <c r="A23" s="23"/>
      <c r="B23" s="42"/>
      <c r="C23" s="31"/>
      <c r="D23" s="24" t="s">
        <v>322</v>
      </c>
      <c r="E23" s="24"/>
      <c r="F23" s="25"/>
      <c r="G23" s="26"/>
      <c r="H23" s="26"/>
      <c r="I23" s="25"/>
      <c r="J23" s="41" t="str">
        <f t="shared" si="2"/>
        <v/>
      </c>
      <c r="K23" s="41" t="e">
        <f>_xlfn.WORKDAY.INTL(J23,L23,1,法定节假日!B2:B31)</f>
        <v>#VALUE!</v>
      </c>
      <c r="L23" s="26"/>
      <c r="M23" s="26"/>
      <c r="N23" s="41"/>
      <c r="O23" s="41"/>
      <c r="P23" s="26">
        <f t="shared" si="0"/>
        <v>0</v>
      </c>
      <c r="Q23" s="25"/>
      <c r="R23" s="25"/>
      <c r="S23" s="29" t="s">
        <v>225</v>
      </c>
      <c r="T23" s="25"/>
      <c r="U23" s="22"/>
    </row>
    <row r="24" s="37" customFormat="1" customHeight="1" spans="1:21">
      <c r="A24" s="23"/>
      <c r="B24" s="42"/>
      <c r="C24" s="31"/>
      <c r="D24" s="24" t="s">
        <v>323</v>
      </c>
      <c r="E24" s="24"/>
      <c r="F24" s="25"/>
      <c r="G24" s="26"/>
      <c r="H24" s="26"/>
      <c r="I24" s="25"/>
      <c r="J24" s="41" t="str">
        <f t="shared" si="2"/>
        <v/>
      </c>
      <c r="K24" s="41" t="e">
        <f>_xlfn.WORKDAY.INTL(J24,L24,1,法定节假日!B2:B31)</f>
        <v>#VALUE!</v>
      </c>
      <c r="L24" s="26"/>
      <c r="M24" s="26"/>
      <c r="N24" s="41"/>
      <c r="O24" s="41"/>
      <c r="P24" s="26">
        <f t="shared" si="0"/>
        <v>0</v>
      </c>
      <c r="Q24" s="25"/>
      <c r="R24" s="25"/>
      <c r="S24" s="29" t="s">
        <v>225</v>
      </c>
      <c r="T24" s="25"/>
      <c r="U24" s="22"/>
    </row>
    <row r="25" s="37" customFormat="1" customHeight="1" spans="1:21">
      <c r="A25" s="23"/>
      <c r="B25" s="42"/>
      <c r="C25" s="31"/>
      <c r="D25" s="24" t="s">
        <v>324</v>
      </c>
      <c r="E25" s="24"/>
      <c r="F25" s="25"/>
      <c r="G25" s="26"/>
      <c r="H25" s="26"/>
      <c r="I25" s="25"/>
      <c r="J25" s="41" t="str">
        <f t="shared" si="2"/>
        <v/>
      </c>
      <c r="K25" s="41" t="e">
        <f>_xlfn.WORKDAY.INTL(J25,L25,1,法定节假日!B2:B31)</f>
        <v>#VALUE!</v>
      </c>
      <c r="L25" s="26"/>
      <c r="M25" s="26"/>
      <c r="N25" s="41"/>
      <c r="O25" s="41"/>
      <c r="P25" s="26">
        <f t="shared" si="0"/>
        <v>0</v>
      </c>
      <c r="Q25" s="25"/>
      <c r="R25" s="25"/>
      <c r="S25" s="29" t="s">
        <v>225</v>
      </c>
      <c r="T25" s="25"/>
      <c r="U25" s="22"/>
    </row>
    <row r="26" s="37" customFormat="1" customHeight="1" spans="1:21">
      <c r="A26" s="23"/>
      <c r="B26" s="42"/>
      <c r="C26" s="31"/>
      <c r="D26" s="24" t="s">
        <v>325</v>
      </c>
      <c r="E26" s="24"/>
      <c r="F26" s="25"/>
      <c r="G26" s="26"/>
      <c r="H26" s="26"/>
      <c r="I26" s="25"/>
      <c r="J26" s="41" t="str">
        <f t="shared" si="2"/>
        <v/>
      </c>
      <c r="K26" s="41" t="e">
        <f>_xlfn.WORKDAY.INTL(J26,L26,1,法定节假日!B2:B31)</f>
        <v>#VALUE!</v>
      </c>
      <c r="L26" s="26"/>
      <c r="M26" s="26"/>
      <c r="N26" s="41"/>
      <c r="O26" s="41"/>
      <c r="P26" s="26">
        <f t="shared" si="0"/>
        <v>0</v>
      </c>
      <c r="Q26" s="25"/>
      <c r="R26" s="25"/>
      <c r="S26" s="29" t="s">
        <v>225</v>
      </c>
      <c r="T26" s="25"/>
      <c r="U26" s="22"/>
    </row>
    <row r="27" s="37" customFormat="1" customHeight="1" spans="1:21">
      <c r="A27" s="23"/>
      <c r="B27" s="42"/>
      <c r="C27" s="31"/>
      <c r="D27" s="24" t="s">
        <v>326</v>
      </c>
      <c r="E27" s="24"/>
      <c r="F27" s="25"/>
      <c r="G27" s="26"/>
      <c r="H27" s="26"/>
      <c r="I27" s="25"/>
      <c r="J27" s="41" t="str">
        <f t="shared" si="2"/>
        <v/>
      </c>
      <c r="K27" s="41" t="e">
        <f>_xlfn.WORKDAY.INTL(J27,L27,1,法定节假日!B2:B31)</f>
        <v>#VALUE!</v>
      </c>
      <c r="L27" s="26"/>
      <c r="M27" s="26"/>
      <c r="N27" s="41"/>
      <c r="O27" s="41"/>
      <c r="P27" s="26">
        <f t="shared" si="0"/>
        <v>0</v>
      </c>
      <c r="Q27" s="25"/>
      <c r="R27" s="25"/>
      <c r="S27" s="29" t="s">
        <v>225</v>
      </c>
      <c r="T27" s="25"/>
      <c r="U27" s="22"/>
    </row>
    <row r="28" s="37" customFormat="1" customHeight="1" spans="1:21">
      <c r="A28" s="23"/>
      <c r="B28" s="43"/>
      <c r="C28" s="32"/>
      <c r="D28" s="24" t="s">
        <v>327</v>
      </c>
      <c r="E28" s="24"/>
      <c r="F28" s="25"/>
      <c r="G28" s="26"/>
      <c r="H28" s="26"/>
      <c r="I28" s="25"/>
      <c r="J28" s="41" t="str">
        <f t="shared" si="2"/>
        <v/>
      </c>
      <c r="K28" s="41" t="e">
        <f>_xlfn.WORKDAY.INTL(J28,L28,1,法定节假日!B2:B31)</f>
        <v>#VALUE!</v>
      </c>
      <c r="L28" s="26"/>
      <c r="M28" s="26"/>
      <c r="N28" s="41"/>
      <c r="O28" s="41"/>
      <c r="P28" s="26">
        <f t="shared" si="0"/>
        <v>0</v>
      </c>
      <c r="Q28" s="25"/>
      <c r="R28" s="25"/>
      <c r="S28" s="29" t="s">
        <v>225</v>
      </c>
      <c r="T28" s="25"/>
      <c r="U28" s="22"/>
    </row>
    <row r="29" s="37" customFormat="1" customHeight="1" spans="1:21">
      <c r="A29" s="23"/>
      <c r="B29" s="40"/>
      <c r="C29" s="30" t="s">
        <v>173</v>
      </c>
      <c r="D29" s="28" t="s">
        <v>173</v>
      </c>
      <c r="E29" s="28"/>
      <c r="F29" s="25"/>
      <c r="G29" s="26"/>
      <c r="H29" s="26"/>
      <c r="I29" s="26"/>
      <c r="J29" s="41" t="str">
        <f>主计划!M67</f>
        <v/>
      </c>
      <c r="K29" s="41" t="e">
        <f>主计划!N67</f>
        <v>#VALUE!</v>
      </c>
      <c r="L29" s="26">
        <f>主计划!O67</f>
        <v>0</v>
      </c>
      <c r="M29" s="26"/>
      <c r="N29" s="41"/>
      <c r="O29" s="41"/>
      <c r="P29" s="26">
        <f t="shared" si="0"/>
        <v>0</v>
      </c>
      <c r="Q29" s="25"/>
      <c r="R29" s="25"/>
      <c r="S29" s="29" t="s">
        <v>225</v>
      </c>
      <c r="T29" s="25"/>
      <c r="U29" s="22"/>
    </row>
    <row r="30" s="37" customFormat="1" customHeight="1" spans="1:21">
      <c r="A30" s="16">
        <v>4.4</v>
      </c>
      <c r="B30" s="16"/>
      <c r="C30" s="16" t="s">
        <v>175</v>
      </c>
      <c r="D30" s="16"/>
      <c r="E30" s="16"/>
      <c r="F30" s="18"/>
      <c r="G30" s="19"/>
      <c r="H30" s="19"/>
      <c r="I30" s="18"/>
      <c r="J30" s="39" t="str">
        <f>主计划!M68</f>
        <v/>
      </c>
      <c r="K30" s="39" t="e">
        <f>主计划!N68</f>
        <v>#VALUE!</v>
      </c>
      <c r="L30" s="19">
        <f>主计划!O68</f>
        <v>0</v>
      </c>
      <c r="M30" s="19"/>
      <c r="N30" s="39">
        <f>MIN(N31:N37)</f>
        <v>0</v>
      </c>
      <c r="O30" s="39">
        <f>MAX(O31:O37)</f>
        <v>0</v>
      </c>
      <c r="P30" s="19">
        <f t="shared" si="0"/>
        <v>0</v>
      </c>
      <c r="Q30" s="18"/>
      <c r="R30" s="18"/>
      <c r="S30" s="21" t="str">
        <f>IF(COUNTIF(S31:S37,"未完成")=COUNTA(S31:S37),"未完成",IF(COUNTIF(S31:S37,"已完成")=COUNTA(S31:S37),"已完成","进行中"))</f>
        <v>未完成</v>
      </c>
      <c r="T30" s="18"/>
      <c r="U30" s="22"/>
    </row>
    <row r="31" s="37" customFormat="1" customHeight="1" spans="1:21">
      <c r="A31" s="23"/>
      <c r="B31" s="40"/>
      <c r="C31" s="30" t="s">
        <v>177</v>
      </c>
      <c r="D31" s="24" t="s">
        <v>328</v>
      </c>
      <c r="E31" s="24"/>
      <c r="F31" s="25"/>
      <c r="G31" s="26"/>
      <c r="H31" s="26"/>
      <c r="I31" s="25"/>
      <c r="J31" s="41"/>
      <c r="K31" s="41">
        <f>_xlfn.WORKDAY.INTL(J31,L31,1,法定节假日!B2:B31)</f>
        <v>0</v>
      </c>
      <c r="L31" s="26"/>
      <c r="M31" s="26"/>
      <c r="N31" s="41"/>
      <c r="O31" s="41"/>
      <c r="P31" s="26">
        <f t="shared" si="0"/>
        <v>0</v>
      </c>
      <c r="Q31" s="25"/>
      <c r="R31" s="25"/>
      <c r="S31" s="29" t="s">
        <v>225</v>
      </c>
      <c r="T31" s="25"/>
      <c r="U31" s="22"/>
    </row>
    <row r="32" s="37" customFormat="1" customHeight="1" spans="1:21">
      <c r="A32" s="23"/>
      <c r="B32" s="42"/>
      <c r="C32" s="31"/>
      <c r="D32" s="24" t="s">
        <v>329</v>
      </c>
      <c r="E32" s="46"/>
      <c r="F32" s="25"/>
      <c r="G32" s="26"/>
      <c r="H32" s="26"/>
      <c r="I32" s="25"/>
      <c r="J32" s="41" t="str">
        <f>IF(M32="是",K31,"")</f>
        <v/>
      </c>
      <c r="K32" s="41" t="e">
        <f>_xlfn.WORKDAY.INTL(J32,L32,1,法定节假日!B2:B31)</f>
        <v>#VALUE!</v>
      </c>
      <c r="L32" s="26"/>
      <c r="M32" s="26"/>
      <c r="N32" s="41"/>
      <c r="O32" s="41"/>
      <c r="P32" s="26">
        <f t="shared" si="0"/>
        <v>0</v>
      </c>
      <c r="Q32" s="25"/>
      <c r="R32" s="25"/>
      <c r="S32" s="29" t="s">
        <v>225</v>
      </c>
      <c r="T32" s="25"/>
      <c r="U32" s="22"/>
    </row>
    <row r="33" s="37" customFormat="1" customHeight="1" spans="1:21">
      <c r="A33" s="23"/>
      <c r="B33" s="43"/>
      <c r="C33" s="32"/>
      <c r="D33" s="24" t="s">
        <v>330</v>
      </c>
      <c r="E33" s="24"/>
      <c r="F33" s="25"/>
      <c r="G33" s="26"/>
      <c r="H33" s="26"/>
      <c r="I33" s="25"/>
      <c r="J33" s="41" t="str">
        <f>IF(M33="是",K32,"")</f>
        <v/>
      </c>
      <c r="K33" s="41" t="e">
        <f>_xlfn.WORKDAY.INTL(J33,L33,1,法定节假日!B2:B31)</f>
        <v>#VALUE!</v>
      </c>
      <c r="L33" s="26"/>
      <c r="M33" s="26"/>
      <c r="N33" s="41"/>
      <c r="O33" s="41"/>
      <c r="P33" s="26">
        <f t="shared" si="0"/>
        <v>0</v>
      </c>
      <c r="Q33" s="25"/>
      <c r="R33" s="25"/>
      <c r="S33" s="29" t="s">
        <v>225</v>
      </c>
      <c r="T33" s="25"/>
      <c r="U33" s="22"/>
    </row>
    <row r="34" s="37" customFormat="1" customHeight="1" spans="1:21">
      <c r="A34" s="23"/>
      <c r="B34" s="42"/>
      <c r="C34" s="30" t="s">
        <v>179</v>
      </c>
      <c r="D34" s="25" t="s">
        <v>331</v>
      </c>
      <c r="E34" s="25"/>
      <c r="F34" s="25"/>
      <c r="G34" s="26" t="s">
        <v>37</v>
      </c>
      <c r="H34" s="26" t="s">
        <v>37</v>
      </c>
      <c r="I34" s="26" t="s">
        <v>37</v>
      </c>
      <c r="J34" s="41" t="str">
        <f>IF(M34="是",K33,"")</f>
        <v/>
      </c>
      <c r="K34" s="41" t="e">
        <f>_xlfn.WORKDAY.INTL(J34,L34,1,法定节假日!B2:B31)</f>
        <v>#VALUE!</v>
      </c>
      <c r="L34" s="26"/>
      <c r="M34" s="26"/>
      <c r="N34" s="41"/>
      <c r="O34" s="41"/>
      <c r="P34" s="26">
        <f t="shared" si="0"/>
        <v>0</v>
      </c>
      <c r="Q34" s="25"/>
      <c r="R34" s="25"/>
      <c r="S34" s="29" t="s">
        <v>225</v>
      </c>
      <c r="T34" s="25"/>
      <c r="U34" s="22"/>
    </row>
    <row r="35" s="37" customFormat="1" customHeight="1" spans="1:21">
      <c r="A35" s="23"/>
      <c r="B35" s="43"/>
      <c r="C35" s="32"/>
      <c r="D35" s="25" t="s">
        <v>332</v>
      </c>
      <c r="E35" s="25"/>
      <c r="F35" s="25"/>
      <c r="G35" s="26"/>
      <c r="H35" s="26"/>
      <c r="I35" s="25"/>
      <c r="J35" s="41" t="str">
        <f>IF(M35="是",K34,"")</f>
        <v/>
      </c>
      <c r="K35" s="41" t="e">
        <f>_xlfn.WORKDAY.INTL(J35,L35,1,法定节假日!B2:B31)</f>
        <v>#VALUE!</v>
      </c>
      <c r="L35" s="26"/>
      <c r="M35" s="26"/>
      <c r="N35" s="41"/>
      <c r="O35" s="41"/>
      <c r="P35" s="26">
        <f t="shared" si="0"/>
        <v>0</v>
      </c>
      <c r="Q35" s="25"/>
      <c r="R35" s="25"/>
      <c r="S35" s="29" t="s">
        <v>225</v>
      </c>
      <c r="T35" s="25"/>
      <c r="U35" s="22"/>
    </row>
    <row r="36" s="37" customFormat="1" customHeight="1" spans="1:21">
      <c r="A36" s="23"/>
      <c r="B36" s="23"/>
      <c r="C36" s="24" t="s">
        <v>182</v>
      </c>
      <c r="D36" s="28" t="s">
        <v>182</v>
      </c>
      <c r="E36" s="28"/>
      <c r="F36" s="25"/>
      <c r="G36" s="26"/>
      <c r="H36" s="26"/>
      <c r="I36" s="25"/>
      <c r="J36" s="41" t="str">
        <f>主计划!M71</f>
        <v/>
      </c>
      <c r="K36" s="41" t="e">
        <f>主计划!N71</f>
        <v>#VALUE!</v>
      </c>
      <c r="L36" s="26">
        <f>主计划!O71</f>
        <v>0</v>
      </c>
      <c r="M36" s="26"/>
      <c r="N36" s="41"/>
      <c r="O36" s="41"/>
      <c r="P36" s="26">
        <f t="shared" si="0"/>
        <v>0</v>
      </c>
      <c r="Q36" s="25"/>
      <c r="R36" s="25"/>
      <c r="S36" s="29" t="s">
        <v>225</v>
      </c>
      <c r="T36" s="25"/>
      <c r="U36" s="22"/>
    </row>
    <row r="37" s="37" customFormat="1" customHeight="1" spans="1:21">
      <c r="A37" s="23"/>
      <c r="B37" s="23"/>
      <c r="C37" s="24" t="s">
        <v>185</v>
      </c>
      <c r="D37" s="24" t="s">
        <v>185</v>
      </c>
      <c r="E37" s="24"/>
      <c r="F37" s="26" t="s">
        <v>37</v>
      </c>
      <c r="G37" s="26"/>
      <c r="H37" s="26"/>
      <c r="I37" s="26" t="s">
        <v>37</v>
      </c>
      <c r="J37" s="41" t="str">
        <f>主计划!M72</f>
        <v/>
      </c>
      <c r="K37" s="41" t="e">
        <f>主计划!N72</f>
        <v>#VALUE!</v>
      </c>
      <c r="L37" s="26">
        <f>主计划!O72</f>
        <v>0</v>
      </c>
      <c r="M37" s="26"/>
      <c r="N37" s="41"/>
      <c r="O37" s="41"/>
      <c r="P37" s="26">
        <f t="shared" si="0"/>
        <v>0</v>
      </c>
      <c r="Q37" s="25"/>
      <c r="R37" s="25"/>
      <c r="S37" s="29" t="s">
        <v>225</v>
      </c>
      <c r="T37" s="25"/>
      <c r="U37" s="22"/>
    </row>
  </sheetData>
  <mergeCells count="31">
    <mergeCell ref="J1:K1"/>
    <mergeCell ref="N1:O1"/>
    <mergeCell ref="Q1:R1"/>
    <mergeCell ref="S1:T1"/>
    <mergeCell ref="A1:A2"/>
    <mergeCell ref="B1:B2"/>
    <mergeCell ref="B5:B8"/>
    <mergeCell ref="B9:B10"/>
    <mergeCell ref="B13:B14"/>
    <mergeCell ref="B17:B18"/>
    <mergeCell ref="B19:B21"/>
    <mergeCell ref="B22:B28"/>
    <mergeCell ref="B31:B33"/>
    <mergeCell ref="B34:B35"/>
    <mergeCell ref="C1:C2"/>
    <mergeCell ref="C5:C8"/>
    <mergeCell ref="C9:C10"/>
    <mergeCell ref="C13:C14"/>
    <mergeCell ref="C17:C18"/>
    <mergeCell ref="C19:C21"/>
    <mergeCell ref="C22:C28"/>
    <mergeCell ref="C31:C33"/>
    <mergeCell ref="C34:C35"/>
    <mergeCell ref="D1:D2"/>
    <mergeCell ref="E1:E2"/>
    <mergeCell ref="F1:F2"/>
    <mergeCell ref="G1:G2"/>
    <mergeCell ref="H1:H2"/>
    <mergeCell ref="I1:I2"/>
    <mergeCell ref="M1:M2"/>
    <mergeCell ref="U1:U2"/>
  </mergeCells>
  <dataValidations count="2">
    <dataValidation type="list" allowBlank="1" showInputMessage="1" showErrorMessage="1" sqref="M4:M37">
      <formula1>"是"</formula1>
    </dataValidation>
    <dataValidation type="list" allowBlank="1" showInputMessage="1" showErrorMessage="1" sqref="S4:S11 S13:S15 S17:S29 S31:S37">
      <formula1>"未完成,进行中,已完成"</formula1>
    </dataValidation>
  </dataValidations>
  <pageMargins left="0.7" right="0.7" top="0.75" bottom="0.75" header="0.3" footer="0.3"/>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U25"/>
  <sheetViews>
    <sheetView workbookViewId="0">
      <selection activeCell="A1" sqref="A1:A2"/>
    </sheetView>
  </sheetViews>
  <sheetFormatPr defaultColWidth="8.83333333333333" defaultRowHeight="14" customHeight="1"/>
  <cols>
    <col min="3" max="3" width="23.1666666666667" style="1" customWidth="1"/>
    <col min="4" max="4" width="28.6666666666667" style="1" customWidth="1"/>
    <col min="5" max="5" width="26.5" style="1" customWidth="1"/>
    <col min="6" max="9" width="8.66666666666667" style="1" customWidth="1"/>
    <col min="10" max="11" width="10" style="1" customWidth="1"/>
    <col min="12" max="12" width="10" style="6" customWidth="1"/>
    <col min="13" max="13" width="11.3333333333333" style="1" customWidth="1"/>
    <col min="14" max="16" width="10" style="1" customWidth="1"/>
    <col min="19" max="19" width="9" style="6"/>
  </cols>
  <sheetData>
    <row r="1" ht="16.5" customHeight="1" spans="1:21">
      <c r="A1" s="7" t="s">
        <v>11</v>
      </c>
      <c r="B1" s="7" t="s">
        <v>12</v>
      </c>
      <c r="C1" s="8" t="s">
        <v>13</v>
      </c>
      <c r="D1" s="9" t="s">
        <v>216</v>
      </c>
      <c r="E1" s="9" t="s">
        <v>217</v>
      </c>
      <c r="F1" s="8" t="s">
        <v>6</v>
      </c>
      <c r="G1" s="7" t="s">
        <v>17</v>
      </c>
      <c r="H1" s="7" t="s">
        <v>18</v>
      </c>
      <c r="I1" s="7" t="s">
        <v>240</v>
      </c>
      <c r="J1" s="10" t="s">
        <v>20</v>
      </c>
      <c r="K1" s="10"/>
      <c r="L1" s="11" t="s">
        <v>21</v>
      </c>
      <c r="M1" s="12" t="s">
        <v>22</v>
      </c>
      <c r="N1" s="11" t="s">
        <v>218</v>
      </c>
      <c r="O1" s="13"/>
      <c r="P1" s="13" t="s">
        <v>21</v>
      </c>
      <c r="Q1" s="10" t="s">
        <v>23</v>
      </c>
      <c r="R1" s="10"/>
      <c r="S1" s="10" t="s">
        <v>16</v>
      </c>
      <c r="T1" s="10"/>
      <c r="U1" s="12" t="s">
        <v>219</v>
      </c>
    </row>
    <row r="2" ht="33" customHeight="1" spans="1:21">
      <c r="A2" s="7"/>
      <c r="B2" s="7"/>
      <c r="C2" s="8"/>
      <c r="D2" s="14"/>
      <c r="E2" s="14"/>
      <c r="F2" s="8"/>
      <c r="G2" s="8"/>
      <c r="H2" s="8"/>
      <c r="I2" s="8"/>
      <c r="J2" s="10" t="s">
        <v>27</v>
      </c>
      <c r="K2" s="10" t="s">
        <v>28</v>
      </c>
      <c r="L2" s="10" t="s">
        <v>29</v>
      </c>
      <c r="M2" s="15"/>
      <c r="N2" s="10" t="s">
        <v>220</v>
      </c>
      <c r="O2" s="10" t="s">
        <v>221</v>
      </c>
      <c r="P2" s="10" t="s">
        <v>222</v>
      </c>
      <c r="Q2" s="10" t="s">
        <v>30</v>
      </c>
      <c r="R2" s="10" t="s">
        <v>31</v>
      </c>
      <c r="S2" s="10" t="s">
        <v>25</v>
      </c>
      <c r="T2" s="10" t="s">
        <v>26</v>
      </c>
      <c r="U2" s="15"/>
    </row>
    <row r="3" customHeight="1" spans="1:21">
      <c r="A3" s="16">
        <v>5.1</v>
      </c>
      <c r="B3" s="17"/>
      <c r="C3" s="17" t="s">
        <v>333</v>
      </c>
      <c r="D3" s="17"/>
      <c r="E3" s="17"/>
      <c r="F3" s="18"/>
      <c r="G3" s="19"/>
      <c r="H3" s="19"/>
      <c r="I3" s="18"/>
      <c r="J3" s="20">
        <f>主计划!M74</f>
        <v>0</v>
      </c>
      <c r="K3" s="20">
        <f>主计划!N74</f>
        <v>0</v>
      </c>
      <c r="L3" s="21">
        <f>主计划!O74</f>
        <v>0</v>
      </c>
      <c r="M3" s="18"/>
      <c r="N3" s="20">
        <f>MIN(N4:N17)</f>
        <v>0</v>
      </c>
      <c r="O3" s="20">
        <f>MAX(O4:O17)</f>
        <v>0</v>
      </c>
      <c r="P3" s="19">
        <f t="shared" ref="P3:P25" si="0">NETWORKDAYS(N3,O3)</f>
        <v>0</v>
      </c>
      <c r="Q3" s="18"/>
      <c r="R3" s="18"/>
      <c r="S3" s="21" t="str">
        <f>IF(COUNTIF(S4:S17,"未完成")=COUNTA(S4:S17),"未完成",IF(COUNTIF(S4:S17,"已完成")=COUNTA(S4:S17),"已完成","进行中"))</f>
        <v>未完成</v>
      </c>
      <c r="T3" s="18"/>
      <c r="U3" s="22"/>
    </row>
    <row r="4" customHeight="1" spans="1:21">
      <c r="A4" s="23"/>
      <c r="B4" s="23"/>
      <c r="C4" s="24" t="s">
        <v>190</v>
      </c>
      <c r="D4" s="23"/>
      <c r="E4" s="24"/>
      <c r="F4" s="25"/>
      <c r="G4" s="26"/>
      <c r="H4" s="26"/>
      <c r="I4" s="26" t="s">
        <v>37</v>
      </c>
      <c r="J4" s="27">
        <f>主计划!M75</f>
        <v>0</v>
      </c>
      <c r="K4" s="27">
        <f>主计划!N75</f>
        <v>0</v>
      </c>
      <c r="L4" s="26">
        <f>主计划!O75</f>
        <v>0</v>
      </c>
      <c r="M4" s="28"/>
      <c r="N4" s="27"/>
      <c r="O4" s="27"/>
      <c r="P4" s="26">
        <f t="shared" si="0"/>
        <v>0</v>
      </c>
      <c r="Q4" s="25"/>
      <c r="R4" s="25"/>
      <c r="S4" s="29" t="s">
        <v>225</v>
      </c>
      <c r="T4" s="25"/>
      <c r="U4" s="22"/>
    </row>
    <row r="5" customHeight="1" spans="1:21">
      <c r="A5" s="23"/>
      <c r="B5" s="23"/>
      <c r="C5" s="30" t="s">
        <v>192</v>
      </c>
      <c r="D5" s="24" t="s">
        <v>334</v>
      </c>
      <c r="E5" s="24"/>
      <c r="F5" s="25"/>
      <c r="G5" s="26"/>
      <c r="H5" s="26"/>
      <c r="I5" s="25"/>
      <c r="J5" s="27" t="str">
        <f t="shared" ref="J5:J16" si="1">IF(M5="是",K4,"")</f>
        <v/>
      </c>
      <c r="K5" s="27" t="e">
        <f>_xlfn.WORKDAY.INTL(J5,L5,1,法定节假日!B3:B32)</f>
        <v>#VALUE!</v>
      </c>
      <c r="L5" s="26"/>
      <c r="M5" s="28"/>
      <c r="N5" s="27"/>
      <c r="O5" s="27"/>
      <c r="P5" s="26">
        <f t="shared" si="0"/>
        <v>0</v>
      </c>
      <c r="Q5" s="25"/>
      <c r="R5" s="25"/>
      <c r="S5" s="29" t="s">
        <v>225</v>
      </c>
      <c r="T5" s="25"/>
      <c r="U5" s="22"/>
    </row>
    <row r="6" customHeight="1" spans="1:21">
      <c r="A6" s="23"/>
      <c r="B6" s="23"/>
      <c r="C6" s="31"/>
      <c r="D6" s="24" t="s">
        <v>335</v>
      </c>
      <c r="E6" s="24"/>
      <c r="F6" s="25"/>
      <c r="G6" s="26"/>
      <c r="H6" s="26"/>
      <c r="I6" s="25"/>
      <c r="J6" s="27" t="str">
        <f t="shared" si="1"/>
        <v/>
      </c>
      <c r="K6" s="27" t="e">
        <f>_xlfn.WORKDAY.INTL(J6,L6,1,法定节假日!B4:B33)</f>
        <v>#VALUE!</v>
      </c>
      <c r="L6" s="26"/>
      <c r="M6" s="28"/>
      <c r="N6" s="27"/>
      <c r="O6" s="27"/>
      <c r="P6" s="26">
        <f t="shared" si="0"/>
        <v>0</v>
      </c>
      <c r="Q6" s="25"/>
      <c r="R6" s="25"/>
      <c r="S6" s="29" t="s">
        <v>225</v>
      </c>
      <c r="T6" s="25"/>
      <c r="U6" s="22"/>
    </row>
    <row r="7" customHeight="1" spans="1:21">
      <c r="A7" s="23"/>
      <c r="B7" s="23"/>
      <c r="C7" s="32"/>
      <c r="D7" s="24" t="s">
        <v>336</v>
      </c>
      <c r="E7" s="24"/>
      <c r="F7" s="25"/>
      <c r="G7" s="26"/>
      <c r="H7" s="26"/>
      <c r="I7" s="25"/>
      <c r="J7" s="27" t="str">
        <f t="shared" si="1"/>
        <v/>
      </c>
      <c r="K7" s="27" t="e">
        <f>_xlfn.WORKDAY.INTL(J7,L7,1,法定节假日!B5:B34)</f>
        <v>#VALUE!</v>
      </c>
      <c r="L7" s="26"/>
      <c r="M7" s="28"/>
      <c r="N7" s="27"/>
      <c r="O7" s="27"/>
      <c r="P7" s="26">
        <f t="shared" si="0"/>
        <v>0</v>
      </c>
      <c r="Q7" s="25"/>
      <c r="R7" s="25"/>
      <c r="S7" s="29" t="s">
        <v>225</v>
      </c>
      <c r="T7" s="25"/>
      <c r="U7" s="22"/>
    </row>
    <row r="8" customHeight="1" spans="1:21">
      <c r="A8" s="23"/>
      <c r="B8" s="23"/>
      <c r="C8" s="30" t="s">
        <v>195</v>
      </c>
      <c r="D8" s="23" t="s">
        <v>337</v>
      </c>
      <c r="E8" s="23"/>
      <c r="F8" s="25"/>
      <c r="G8" s="26"/>
      <c r="H8" s="26"/>
      <c r="I8" s="26"/>
      <c r="J8" s="27" t="str">
        <f t="shared" si="1"/>
        <v/>
      </c>
      <c r="K8" s="27" t="e">
        <f>_xlfn.WORKDAY.INTL(J8,L8,1,法定节假日!B6:B35)</f>
        <v>#VALUE!</v>
      </c>
      <c r="L8" s="26"/>
      <c r="M8" s="28"/>
      <c r="N8" s="27"/>
      <c r="O8" s="27"/>
      <c r="P8" s="26">
        <f t="shared" si="0"/>
        <v>0</v>
      </c>
      <c r="Q8" s="25"/>
      <c r="R8" s="25"/>
      <c r="S8" s="29" t="s">
        <v>225</v>
      </c>
      <c r="T8" s="25"/>
      <c r="U8" s="22"/>
    </row>
    <row r="9" customHeight="1" spans="1:21">
      <c r="A9" s="23"/>
      <c r="B9" s="23"/>
      <c r="C9" s="31"/>
      <c r="D9" s="24" t="s">
        <v>338</v>
      </c>
      <c r="E9" s="24"/>
      <c r="F9" s="25"/>
      <c r="G9" s="26"/>
      <c r="H9" s="26"/>
      <c r="I9" s="26"/>
      <c r="J9" s="27" t="str">
        <f t="shared" si="1"/>
        <v/>
      </c>
      <c r="K9" s="27" t="e">
        <f>_xlfn.WORKDAY.INTL(J9,L9,1,法定节假日!B7:B36)</f>
        <v>#VALUE!</v>
      </c>
      <c r="L9" s="26"/>
      <c r="M9" s="28"/>
      <c r="N9" s="27"/>
      <c r="O9" s="27"/>
      <c r="P9" s="26">
        <f t="shared" si="0"/>
        <v>0</v>
      </c>
      <c r="Q9" s="25"/>
      <c r="R9" s="25"/>
      <c r="S9" s="29" t="s">
        <v>225</v>
      </c>
      <c r="T9" s="25"/>
      <c r="U9" s="22"/>
    </row>
    <row r="10" customHeight="1" spans="1:21">
      <c r="A10" s="23"/>
      <c r="B10" s="23"/>
      <c r="C10" s="31"/>
      <c r="D10" s="23" t="s">
        <v>339</v>
      </c>
      <c r="E10" s="23"/>
      <c r="F10" s="25"/>
      <c r="G10" s="26"/>
      <c r="H10" s="26"/>
      <c r="I10" s="25"/>
      <c r="J10" s="27" t="str">
        <f t="shared" si="1"/>
        <v/>
      </c>
      <c r="K10" s="27" t="e">
        <f>_xlfn.WORKDAY.INTL(J10,L10,1,法定节假日!B8:B37)</f>
        <v>#VALUE!</v>
      </c>
      <c r="L10" s="26"/>
      <c r="M10" s="28"/>
      <c r="N10" s="27"/>
      <c r="O10" s="27"/>
      <c r="P10" s="26">
        <f t="shared" si="0"/>
        <v>0</v>
      </c>
      <c r="Q10" s="25"/>
      <c r="R10" s="25"/>
      <c r="S10" s="29" t="s">
        <v>225</v>
      </c>
      <c r="T10" s="25"/>
      <c r="U10" s="22"/>
    </row>
    <row r="11" customHeight="1" spans="1:21">
      <c r="A11" s="23"/>
      <c r="B11" s="23"/>
      <c r="C11" s="32"/>
      <c r="D11" s="24" t="s">
        <v>340</v>
      </c>
      <c r="E11" s="24"/>
      <c r="F11" s="25"/>
      <c r="G11" s="26"/>
      <c r="H11" s="26"/>
      <c r="I11" s="25"/>
      <c r="J11" s="27" t="str">
        <f t="shared" si="1"/>
        <v/>
      </c>
      <c r="K11" s="27" t="e">
        <f>_xlfn.WORKDAY.INTL(J11,L11,1,法定节假日!B9:B38)</f>
        <v>#VALUE!</v>
      </c>
      <c r="L11" s="26"/>
      <c r="M11" s="28"/>
      <c r="N11" s="27"/>
      <c r="O11" s="27"/>
      <c r="P11" s="26">
        <f t="shared" si="0"/>
        <v>0</v>
      </c>
      <c r="Q11" s="25"/>
      <c r="R11" s="25"/>
      <c r="S11" s="29" t="s">
        <v>225</v>
      </c>
      <c r="T11" s="25"/>
      <c r="U11" s="22"/>
    </row>
    <row r="12" customHeight="1" spans="1:21">
      <c r="A12" s="23"/>
      <c r="B12" s="23"/>
      <c r="C12" s="28" t="s">
        <v>198</v>
      </c>
      <c r="D12" s="33" t="s">
        <v>341</v>
      </c>
      <c r="E12" s="33"/>
      <c r="F12" s="25"/>
      <c r="G12" s="26" t="s">
        <v>37</v>
      </c>
      <c r="H12" s="26" t="s">
        <v>37</v>
      </c>
      <c r="I12" s="26" t="s">
        <v>37</v>
      </c>
      <c r="J12" s="27" t="str">
        <f t="shared" si="1"/>
        <v/>
      </c>
      <c r="K12" s="27" t="e">
        <f>_xlfn.WORKDAY.INTL(J12,L12,1,法定节假日!B10:B39)</f>
        <v>#VALUE!</v>
      </c>
      <c r="L12" s="26"/>
      <c r="M12" s="28"/>
      <c r="N12" s="27"/>
      <c r="O12" s="27"/>
      <c r="P12" s="26">
        <f t="shared" si="0"/>
        <v>0</v>
      </c>
      <c r="Q12" s="25"/>
      <c r="R12" s="25"/>
      <c r="S12" s="29" t="s">
        <v>225</v>
      </c>
      <c r="T12" s="25"/>
      <c r="U12" s="22"/>
    </row>
    <row r="13" customHeight="1" spans="1:21">
      <c r="A13" s="23"/>
      <c r="B13" s="23"/>
      <c r="C13" s="28"/>
      <c r="D13" s="24" t="s">
        <v>342</v>
      </c>
      <c r="E13" s="24"/>
      <c r="F13" s="25"/>
      <c r="H13" s="26" t="s">
        <v>37</v>
      </c>
      <c r="J13" s="27" t="str">
        <f t="shared" si="1"/>
        <v/>
      </c>
      <c r="K13" s="27" t="e">
        <f>_xlfn.WORKDAY.INTL(J13,L13,1,法定节假日!B11:B40)</f>
        <v>#VALUE!</v>
      </c>
      <c r="L13" s="26"/>
      <c r="M13" s="28"/>
      <c r="N13" s="27"/>
      <c r="O13" s="27"/>
      <c r="P13" s="26">
        <f t="shared" si="0"/>
        <v>0</v>
      </c>
      <c r="Q13" s="25"/>
      <c r="R13" s="25"/>
      <c r="S13" s="29" t="s">
        <v>225</v>
      </c>
      <c r="T13" s="25"/>
      <c r="U13" s="22"/>
    </row>
    <row r="14" customHeight="1" spans="1:21">
      <c r="A14" s="23"/>
      <c r="B14" s="23"/>
      <c r="C14" s="28" t="s">
        <v>343</v>
      </c>
      <c r="D14" s="25" t="s">
        <v>344</v>
      </c>
      <c r="E14" s="25"/>
      <c r="F14" s="25"/>
      <c r="G14" s="26"/>
      <c r="H14" s="26"/>
      <c r="I14" s="26"/>
      <c r="J14" s="27" t="str">
        <f t="shared" si="1"/>
        <v/>
      </c>
      <c r="K14" s="27" t="e">
        <f>_xlfn.WORKDAY.INTL(J14,L14,1,法定节假日!B13:B41)</f>
        <v>#VALUE!</v>
      </c>
      <c r="L14" s="26"/>
      <c r="M14" s="28"/>
      <c r="N14" s="27"/>
      <c r="O14" s="27"/>
      <c r="P14" s="26">
        <f t="shared" si="0"/>
        <v>0</v>
      </c>
      <c r="Q14" s="25"/>
      <c r="R14" s="25"/>
      <c r="S14" s="29" t="s">
        <v>225</v>
      </c>
      <c r="T14" s="25"/>
      <c r="U14" s="22"/>
    </row>
    <row r="15" customHeight="1" spans="1:21">
      <c r="A15" s="23"/>
      <c r="B15" s="23"/>
      <c r="C15" s="28"/>
      <c r="D15" s="33" t="s">
        <v>345</v>
      </c>
      <c r="E15" s="33"/>
      <c r="F15" s="25"/>
      <c r="G15" s="26" t="s">
        <v>37</v>
      </c>
      <c r="H15" s="26" t="s">
        <v>37</v>
      </c>
      <c r="I15" s="26" t="s">
        <v>37</v>
      </c>
      <c r="J15" s="27" t="str">
        <f t="shared" si="1"/>
        <v/>
      </c>
      <c r="K15" s="27" t="e">
        <f>_xlfn.WORKDAY.INTL(J15,L15,1,法定节假日!B16:B42)</f>
        <v>#VALUE!</v>
      </c>
      <c r="L15" s="26"/>
      <c r="M15" s="28"/>
      <c r="N15" s="27"/>
      <c r="O15" s="27"/>
      <c r="P15" s="26">
        <f t="shared" si="0"/>
        <v>0</v>
      </c>
      <c r="Q15" s="25"/>
      <c r="R15" s="25"/>
      <c r="S15" s="29" t="s">
        <v>225</v>
      </c>
      <c r="T15" s="25"/>
      <c r="U15" s="22"/>
    </row>
    <row r="16" customHeight="1" spans="1:21">
      <c r="A16" s="23"/>
      <c r="B16" s="23"/>
      <c r="C16" s="28"/>
      <c r="D16" s="33" t="s">
        <v>346</v>
      </c>
      <c r="E16" s="33"/>
      <c r="F16" s="25"/>
      <c r="G16" s="26"/>
      <c r="I16" s="25"/>
      <c r="J16" s="27" t="str">
        <f t="shared" si="1"/>
        <v/>
      </c>
      <c r="K16" s="27" t="e">
        <f>_xlfn.WORKDAY.INTL(J16,L16,1,法定节假日!B17:B43)</f>
        <v>#VALUE!</v>
      </c>
      <c r="L16" s="26"/>
      <c r="M16" s="28"/>
      <c r="N16" s="27"/>
      <c r="O16" s="27"/>
      <c r="P16" s="26">
        <f t="shared" si="0"/>
        <v>0</v>
      </c>
      <c r="Q16" s="25"/>
      <c r="R16" s="25"/>
      <c r="S16" s="29" t="s">
        <v>225</v>
      </c>
      <c r="T16" s="25"/>
      <c r="U16" s="22"/>
    </row>
    <row r="17" customHeight="1" spans="1:21">
      <c r="A17" s="23"/>
      <c r="B17" s="23"/>
      <c r="C17" s="24" t="s">
        <v>204</v>
      </c>
      <c r="D17" s="24" t="s">
        <v>204</v>
      </c>
      <c r="E17" s="24"/>
      <c r="F17" s="26" t="s">
        <v>37</v>
      </c>
      <c r="G17" s="26"/>
      <c r="H17" s="26"/>
      <c r="I17" s="26" t="s">
        <v>37</v>
      </c>
      <c r="J17" s="27" t="str">
        <f>主计划!M80</f>
        <v/>
      </c>
      <c r="K17" s="27" t="e">
        <f>主计划!N80</f>
        <v>#VALUE!</v>
      </c>
      <c r="L17" s="26">
        <f>主计划!O80</f>
        <v>0</v>
      </c>
      <c r="M17" s="28"/>
      <c r="N17" s="27"/>
      <c r="O17" s="27"/>
      <c r="P17" s="26">
        <f t="shared" si="0"/>
        <v>0</v>
      </c>
      <c r="Q17" s="25"/>
      <c r="R17" s="25"/>
      <c r="S17" s="29" t="s">
        <v>225</v>
      </c>
      <c r="T17" s="25"/>
      <c r="U17" s="22"/>
    </row>
    <row r="18" customHeight="1" spans="1:21">
      <c r="A18" s="16">
        <v>5.2</v>
      </c>
      <c r="B18" s="17"/>
      <c r="C18" s="17" t="s">
        <v>206</v>
      </c>
      <c r="D18" s="17"/>
      <c r="E18" s="17"/>
      <c r="F18" s="18"/>
      <c r="G18" s="19"/>
      <c r="H18" s="19"/>
      <c r="I18" s="18"/>
      <c r="J18" s="20" t="str">
        <f>主计划!M81</f>
        <v/>
      </c>
      <c r="K18" s="20" t="e">
        <f>主计划!N81</f>
        <v>#VALUE!</v>
      </c>
      <c r="L18" s="21"/>
      <c r="M18" s="18"/>
      <c r="N18" s="20">
        <f>MIN(N19:N25)</f>
        <v>0</v>
      </c>
      <c r="O18" s="20">
        <f>MAX(O19:O25)</f>
        <v>0</v>
      </c>
      <c r="P18" s="19">
        <f t="shared" si="0"/>
        <v>0</v>
      </c>
      <c r="Q18" s="18"/>
      <c r="R18" s="18"/>
      <c r="S18" s="21" t="str">
        <f>IF(COUNTIF(S19:S25,"未完成")=COUNTA(S19:S25),"未完成",IF(COUNTIF(S19:S25,"已完成")=COUNTA(S19:S25),"已完成","进行中"))</f>
        <v>未完成</v>
      </c>
      <c r="T18" s="18"/>
      <c r="U18" s="22"/>
    </row>
    <row r="19" customHeight="1" spans="1:21">
      <c r="A19" s="23"/>
      <c r="B19" s="23"/>
      <c r="C19" s="24" t="s">
        <v>208</v>
      </c>
      <c r="D19" s="24"/>
      <c r="E19" s="24"/>
      <c r="F19" s="25"/>
      <c r="G19" s="26"/>
      <c r="H19" s="26"/>
      <c r="I19" s="25"/>
      <c r="J19" s="27">
        <f>主计划!M82</f>
        <v>0</v>
      </c>
      <c r="K19" s="27">
        <f>主计划!N82</f>
        <v>0</v>
      </c>
      <c r="L19" s="26">
        <f>主计划!O82</f>
        <v>0</v>
      </c>
      <c r="M19" s="28"/>
      <c r="N19" s="27"/>
      <c r="O19" s="27"/>
      <c r="P19" s="26">
        <f t="shared" si="0"/>
        <v>0</v>
      </c>
      <c r="Q19" s="25"/>
      <c r="R19" s="25"/>
      <c r="S19" s="29" t="s">
        <v>225</v>
      </c>
      <c r="T19" s="25"/>
      <c r="U19" s="22"/>
    </row>
    <row r="20" customHeight="1" spans="1:21">
      <c r="A20" s="23"/>
      <c r="B20" s="23"/>
      <c r="C20" s="30" t="s">
        <v>210</v>
      </c>
      <c r="D20" s="24" t="s">
        <v>347</v>
      </c>
      <c r="E20" s="24"/>
      <c r="F20" s="25"/>
      <c r="G20" s="26"/>
      <c r="H20" s="26"/>
      <c r="I20" s="34" t="s">
        <v>37</v>
      </c>
      <c r="J20" s="27" t="str">
        <f>IF(M20="是",K19,"")</f>
        <v/>
      </c>
      <c r="K20" s="27" t="e">
        <f>_xlfn.WORKDAY.INTL(J20,L20,1,法定节假日!B21:B47)</f>
        <v>#VALUE!</v>
      </c>
      <c r="L20" s="26"/>
      <c r="M20" s="28"/>
      <c r="N20" s="27"/>
      <c r="O20" s="27"/>
      <c r="P20" s="26">
        <f t="shared" si="0"/>
        <v>0</v>
      </c>
      <c r="Q20" s="25"/>
      <c r="R20" s="25"/>
      <c r="S20" s="29" t="s">
        <v>225</v>
      </c>
      <c r="T20" s="25"/>
      <c r="U20" s="22"/>
    </row>
    <row r="21" customHeight="1" spans="1:21">
      <c r="A21" s="23"/>
      <c r="B21" s="23"/>
      <c r="C21" s="31"/>
      <c r="D21" s="24" t="s">
        <v>348</v>
      </c>
      <c r="E21" s="24"/>
      <c r="F21" s="25"/>
      <c r="G21" s="26"/>
      <c r="H21" s="26"/>
      <c r="I21" s="26" t="s">
        <v>37</v>
      </c>
      <c r="J21" s="27" t="str">
        <f>IF(M21="是",K20,"")</f>
        <v/>
      </c>
      <c r="K21" s="27" t="e">
        <f>_xlfn.WORKDAY.INTL(J21,L21,1,法定节假日!B22:B48)</f>
        <v>#VALUE!</v>
      </c>
      <c r="L21" s="26"/>
      <c r="M21" s="28"/>
      <c r="N21" s="27"/>
      <c r="O21" s="27"/>
      <c r="P21" s="26">
        <f t="shared" si="0"/>
        <v>0</v>
      </c>
      <c r="Q21" s="25"/>
      <c r="R21" s="25"/>
      <c r="S21" s="29" t="s">
        <v>225</v>
      </c>
      <c r="T21" s="25"/>
      <c r="U21" s="22"/>
    </row>
    <row r="22" customHeight="1" spans="1:21">
      <c r="A22" s="23"/>
      <c r="B22" s="23"/>
      <c r="C22" s="32"/>
      <c r="D22" s="24" t="s">
        <v>349</v>
      </c>
      <c r="E22" s="24"/>
      <c r="F22" s="25"/>
      <c r="G22" s="26"/>
      <c r="H22" s="26"/>
      <c r="I22" s="26" t="s">
        <v>37</v>
      </c>
      <c r="J22" s="27" t="str">
        <f>IF(M22="是",K21,"")</f>
        <v/>
      </c>
      <c r="K22" s="27" t="e">
        <f>_xlfn.WORKDAY.INTL(J22,L22,1,法定节假日!B23:B49)</f>
        <v>#VALUE!</v>
      </c>
      <c r="L22" s="26"/>
      <c r="M22" s="28"/>
      <c r="N22" s="27"/>
      <c r="O22" s="27"/>
      <c r="P22" s="26">
        <f t="shared" si="0"/>
        <v>0</v>
      </c>
      <c r="Q22" s="25"/>
      <c r="R22" s="25"/>
      <c r="S22" s="29" t="s">
        <v>225</v>
      </c>
      <c r="T22" s="25"/>
      <c r="U22" s="22"/>
    </row>
    <row r="23" customHeight="1" spans="1:21">
      <c r="A23" s="23"/>
      <c r="B23" s="23"/>
      <c r="C23" s="35" t="s">
        <v>213</v>
      </c>
      <c r="D23" s="24"/>
      <c r="E23" s="24"/>
      <c r="F23" s="25"/>
      <c r="G23" s="26"/>
      <c r="H23" s="26"/>
      <c r="I23" s="25"/>
      <c r="J23" s="27" t="str">
        <f>主计划!M84</f>
        <v/>
      </c>
      <c r="K23" s="27" t="e">
        <f>主计划!N84</f>
        <v>#VALUE!</v>
      </c>
      <c r="L23" s="26">
        <f>主计划!O84</f>
        <v>0</v>
      </c>
      <c r="M23" s="28"/>
      <c r="N23" s="27"/>
      <c r="O23" s="27"/>
      <c r="P23" s="26">
        <f t="shared" si="0"/>
        <v>0</v>
      </c>
      <c r="Q23" s="25"/>
      <c r="R23" s="25"/>
      <c r="S23" s="29" t="s">
        <v>225</v>
      </c>
      <c r="T23" s="25"/>
      <c r="U23" s="22"/>
    </row>
    <row r="24" customHeight="1" spans="1:21">
      <c r="A24" s="23"/>
      <c r="B24" s="23"/>
      <c r="C24" s="28" t="s">
        <v>215</v>
      </c>
      <c r="D24" s="24" t="s">
        <v>215</v>
      </c>
      <c r="E24" s="24"/>
      <c r="F24" s="25"/>
      <c r="G24" s="26"/>
      <c r="H24" s="26"/>
      <c r="I24" s="26" t="s">
        <v>37</v>
      </c>
      <c r="J24" s="27" t="str">
        <f>IF(M24="是",K23,"")</f>
        <v/>
      </c>
      <c r="K24" s="27" t="e">
        <f>_xlfn.WORKDAY.INTL(J24,L24,1,法定节假日!B25:B51)</f>
        <v>#VALUE!</v>
      </c>
      <c r="L24" s="26"/>
      <c r="M24" s="28"/>
      <c r="N24" s="27"/>
      <c r="O24" s="27"/>
      <c r="P24" s="26">
        <f t="shared" si="0"/>
        <v>0</v>
      </c>
      <c r="Q24" s="25"/>
      <c r="R24" s="25"/>
      <c r="S24" s="29" t="s">
        <v>225</v>
      </c>
      <c r="T24" s="25"/>
      <c r="U24" s="22"/>
    </row>
    <row r="25" customHeight="1" spans="1:21">
      <c r="A25" s="23"/>
      <c r="B25" s="23"/>
      <c r="C25" s="28"/>
      <c r="D25" s="24" t="s">
        <v>350</v>
      </c>
      <c r="E25" s="24"/>
      <c r="F25" s="25"/>
      <c r="G25" s="26"/>
      <c r="H25" s="26"/>
      <c r="I25" s="25"/>
      <c r="J25" s="27" t="str">
        <f>IF(M25="是",K24,"")</f>
        <v/>
      </c>
      <c r="K25" s="27" t="e">
        <f>_xlfn.WORKDAY.INTL(J25,L25,1,法定节假日!B26:B52)</f>
        <v>#VALUE!</v>
      </c>
      <c r="L25" s="29"/>
      <c r="M25" s="25"/>
      <c r="N25" s="36"/>
      <c r="O25" s="36"/>
      <c r="P25" s="26">
        <f t="shared" si="0"/>
        <v>0</v>
      </c>
      <c r="Q25" s="25"/>
      <c r="R25" s="25"/>
      <c r="S25" s="29" t="s">
        <v>225</v>
      </c>
      <c r="T25" s="25"/>
      <c r="U25" s="22"/>
    </row>
  </sheetData>
  <mergeCells count="21">
    <mergeCell ref="J1:K1"/>
    <mergeCell ref="N1:O1"/>
    <mergeCell ref="Q1:R1"/>
    <mergeCell ref="S1:T1"/>
    <mergeCell ref="A1:A2"/>
    <mergeCell ref="B1:B2"/>
    <mergeCell ref="C1:C2"/>
    <mergeCell ref="C5:C7"/>
    <mergeCell ref="C8:C11"/>
    <mergeCell ref="C12:C13"/>
    <mergeCell ref="C14:C16"/>
    <mergeCell ref="C20:C22"/>
    <mergeCell ref="C24:C25"/>
    <mergeCell ref="D1:D2"/>
    <mergeCell ref="E1:E2"/>
    <mergeCell ref="F1:F2"/>
    <mergeCell ref="G1:G2"/>
    <mergeCell ref="H1:H2"/>
    <mergeCell ref="I1:I2"/>
    <mergeCell ref="M1:M2"/>
    <mergeCell ref="U1:U2"/>
  </mergeCells>
  <dataValidations count="2">
    <dataValidation type="list" allowBlank="1" showInputMessage="1" showErrorMessage="1" sqref="M4:M25">
      <formula1>"是"</formula1>
    </dataValidation>
    <dataValidation type="list" allowBlank="1" showInputMessage="1" showErrorMessage="1" sqref="S4:S17 S19:S25">
      <formula1>"未完成,进行中,已完成"</formula1>
    </dataValidation>
  </dataValidations>
  <pageMargins left="0.7" right="0.7" top="0.75" bottom="0.75" header="0.3" footer="0.3"/>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E33"/>
  <sheetViews>
    <sheetView workbookViewId="0">
      <selection activeCell="A1" sqref="A1"/>
    </sheetView>
  </sheetViews>
  <sheetFormatPr defaultColWidth="8.83333333333333" defaultRowHeight="14" customHeight="1" outlineLevelCol="4"/>
  <cols>
    <col min="2" max="2" width="10.5" style="1" customWidth="1"/>
    <col min="3" max="3" width="9.5" style="1" customWidth="1"/>
  </cols>
  <sheetData>
    <row r="1" customHeight="1" spans="1:5">
      <c r="A1" s="2" t="s">
        <v>351</v>
      </c>
      <c r="B1" s="2" t="s">
        <v>352</v>
      </c>
      <c r="D1" s="2" t="s">
        <v>353</v>
      </c>
      <c r="E1" s="2" t="s">
        <v>352</v>
      </c>
    </row>
    <row r="2" ht="14.25" customHeight="1" spans="1:5">
      <c r="A2" s="2" t="s">
        <v>354</v>
      </c>
      <c r="B2" s="3">
        <v>45290</v>
      </c>
      <c r="C2" s="4"/>
      <c r="D2" s="2"/>
      <c r="E2" s="2"/>
    </row>
    <row r="3" ht="14.25" customHeight="1" spans="1:5">
      <c r="A3" s="2"/>
      <c r="B3" s="3">
        <v>45291</v>
      </c>
      <c r="C3" s="4"/>
      <c r="D3" s="2"/>
      <c r="E3" s="2"/>
    </row>
    <row r="4" ht="14.25" customHeight="1" spans="1:5">
      <c r="A4" s="2"/>
      <c r="B4" s="3">
        <v>45292</v>
      </c>
      <c r="C4" s="4"/>
      <c r="D4" s="2"/>
      <c r="E4" s="2"/>
    </row>
    <row r="5" ht="14.25" customHeight="1" spans="1:5">
      <c r="A5" s="2" t="s">
        <v>355</v>
      </c>
      <c r="B5" s="3">
        <v>45332</v>
      </c>
      <c r="C5" s="4"/>
      <c r="D5" s="2"/>
      <c r="E5" s="2"/>
    </row>
    <row r="6" ht="14.25" customHeight="1" spans="1:5">
      <c r="B6" s="3">
        <v>45333</v>
      </c>
      <c r="C6" s="4"/>
      <c r="D6" s="2"/>
      <c r="E6" s="2"/>
    </row>
    <row r="7" ht="14.25" customHeight="1" spans="1:5">
      <c r="B7" s="3">
        <v>45334</v>
      </c>
      <c r="C7" s="4"/>
      <c r="D7" s="2"/>
      <c r="E7" s="2"/>
    </row>
    <row r="8" ht="14.25" customHeight="1" spans="1:5">
      <c r="B8" s="3">
        <v>45335</v>
      </c>
      <c r="C8" s="4"/>
      <c r="D8" s="2"/>
      <c r="E8" s="2"/>
    </row>
    <row r="9" ht="14.25" customHeight="1" spans="1:5">
      <c r="B9" s="3">
        <v>45336</v>
      </c>
      <c r="C9" s="4"/>
      <c r="D9" s="2"/>
      <c r="E9" s="2"/>
    </row>
    <row r="10" ht="14.25" customHeight="1" spans="1:5">
      <c r="B10" s="3">
        <v>45337</v>
      </c>
      <c r="C10" s="4"/>
      <c r="D10" s="2"/>
      <c r="E10" s="2"/>
    </row>
    <row r="11" ht="14.25" customHeight="1" spans="1:5">
      <c r="B11" s="3">
        <v>45338</v>
      </c>
      <c r="C11" s="4"/>
      <c r="D11" s="2"/>
      <c r="E11" s="2"/>
    </row>
    <row r="12" ht="14.25" customHeight="1" spans="1:5">
      <c r="B12" s="3">
        <v>45339</v>
      </c>
      <c r="C12" s="4"/>
      <c r="D12" s="2"/>
      <c r="E12" s="2"/>
    </row>
    <row r="13" ht="14.25" customHeight="1" spans="1:5">
      <c r="A13" s="2" t="s">
        <v>356</v>
      </c>
      <c r="B13" s="3">
        <v>45386</v>
      </c>
      <c r="C13" s="4"/>
      <c r="D13" s="2"/>
      <c r="E13" s="2"/>
    </row>
    <row r="14" ht="14.25" customHeight="1" spans="1:5">
      <c r="B14" s="3">
        <v>45387</v>
      </c>
      <c r="C14" s="4"/>
      <c r="D14" s="2"/>
      <c r="E14" s="2"/>
    </row>
    <row r="15" ht="14.25" customHeight="1" spans="1:5">
      <c r="B15" s="3">
        <v>45388</v>
      </c>
      <c r="C15" s="4"/>
      <c r="D15" s="2"/>
      <c r="E15" s="2"/>
    </row>
    <row r="16" ht="14.25" customHeight="1" spans="1:5">
      <c r="A16" s="2" t="s">
        <v>357</v>
      </c>
      <c r="B16" s="3">
        <v>45413</v>
      </c>
      <c r="C16" s="4"/>
      <c r="D16" s="2"/>
      <c r="E16" s="2"/>
    </row>
    <row r="17" ht="14.25" customHeight="1" spans="1:5">
      <c r="A17" s="2"/>
      <c r="B17" s="3">
        <v>45414</v>
      </c>
      <c r="C17" s="4"/>
      <c r="D17" s="2"/>
      <c r="E17" s="2"/>
    </row>
    <row r="18" ht="14.25" customHeight="1" spans="1:5">
      <c r="A18" s="2"/>
      <c r="B18" s="3">
        <v>45415</v>
      </c>
      <c r="C18" s="4"/>
      <c r="D18" s="2"/>
      <c r="E18" s="2"/>
    </row>
    <row r="19" ht="14.25" customHeight="1" spans="1:5">
      <c r="A19" s="2"/>
      <c r="B19" s="3">
        <v>45416</v>
      </c>
      <c r="C19" s="4"/>
      <c r="D19" s="2"/>
      <c r="E19" s="2"/>
    </row>
    <row r="20" ht="14.25" customHeight="1" spans="1:5">
      <c r="A20" s="2"/>
      <c r="B20" s="3">
        <v>45417</v>
      </c>
      <c r="C20" s="4"/>
      <c r="D20" s="2"/>
      <c r="E20" s="2"/>
    </row>
    <row r="21" ht="14.25" customHeight="1" spans="1:5">
      <c r="A21" s="2" t="s">
        <v>358</v>
      </c>
      <c r="B21" s="3">
        <v>45451</v>
      </c>
      <c r="C21" s="4"/>
      <c r="D21" s="2"/>
      <c r="E21" s="2"/>
    </row>
    <row r="22" ht="14.25" customHeight="1" spans="1:5">
      <c r="A22" s="2"/>
      <c r="B22" s="3">
        <v>45452</v>
      </c>
      <c r="C22" s="4"/>
      <c r="D22" s="2"/>
      <c r="E22" s="2"/>
    </row>
    <row r="23" ht="14.25" customHeight="1" spans="1:5">
      <c r="A23" s="2"/>
      <c r="B23" s="3">
        <v>45453</v>
      </c>
      <c r="C23" s="4"/>
      <c r="D23" s="2"/>
      <c r="E23" s="2"/>
    </row>
    <row r="24" ht="14.25" customHeight="1" spans="1:5">
      <c r="A24" s="5" t="s">
        <v>359</v>
      </c>
      <c r="B24" s="3">
        <v>45550</v>
      </c>
      <c r="C24" s="4"/>
      <c r="D24" s="2"/>
      <c r="E24" s="2"/>
    </row>
    <row r="25" ht="14.25" customHeight="1" spans="1:5">
      <c r="B25" s="3">
        <v>45551</v>
      </c>
      <c r="C25" s="4"/>
      <c r="D25" s="2"/>
      <c r="E25" s="2"/>
    </row>
    <row r="26" ht="14.25" customHeight="1" spans="1:5">
      <c r="B26" s="3">
        <v>45552</v>
      </c>
      <c r="C26" s="4"/>
      <c r="D26" s="2"/>
      <c r="E26" s="2"/>
    </row>
    <row r="27" ht="14.25" customHeight="1" spans="1:5">
      <c r="A27" s="5" t="s">
        <v>360</v>
      </c>
      <c r="B27" s="3">
        <v>45566</v>
      </c>
      <c r="D27" s="2"/>
      <c r="E27" s="2"/>
    </row>
    <row r="28" ht="14.25" customHeight="1" spans="1:5">
      <c r="B28" s="3">
        <v>45567</v>
      </c>
      <c r="D28" s="2"/>
      <c r="E28" s="2"/>
    </row>
    <row r="29" ht="14.25" customHeight="1" spans="1:5">
      <c r="B29" s="3">
        <v>45568</v>
      </c>
      <c r="D29" s="2"/>
      <c r="E29" s="2"/>
    </row>
    <row r="30" ht="14.25" customHeight="1" spans="1:5">
      <c r="B30" s="3">
        <v>45569</v>
      </c>
      <c r="D30" s="2"/>
      <c r="E30" s="2"/>
    </row>
    <row r="31" ht="14.25" customHeight="1" spans="1:5">
      <c r="B31" s="3">
        <v>45570</v>
      </c>
      <c r="D31" s="2"/>
      <c r="E31" s="2"/>
    </row>
    <row r="32" ht="14.25" customHeight="1" spans="1:5">
      <c r="B32" s="3">
        <v>45571</v>
      </c>
    </row>
    <row r="33" ht="14.25" customHeight="1" spans="2:2">
      <c r="B33" s="3">
        <v>45572</v>
      </c>
    </row>
  </sheetData>
  <mergeCells count="7">
    <mergeCell ref="A2:A4"/>
    <mergeCell ref="A5:A12"/>
    <mergeCell ref="A13:A15"/>
    <mergeCell ref="A16:A20"/>
    <mergeCell ref="A21:A23"/>
    <mergeCell ref="A24:A26"/>
    <mergeCell ref="A27:A33"/>
  </mergeCells>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DingTalk</Application>
  <HeadingPairs>
    <vt:vector size="2" baseType="variant">
      <vt:variant>
        <vt:lpstr>工作表</vt:lpstr>
      </vt:variant>
      <vt:variant>
        <vt:i4>8</vt:i4>
      </vt:variant>
    </vt:vector>
  </HeadingPairs>
  <TitlesOfParts>
    <vt:vector size="8" baseType="lpstr">
      <vt:lpstr>里程碑计划</vt:lpstr>
      <vt:lpstr>主计划</vt:lpstr>
      <vt:lpstr>项目准备WBS</vt:lpstr>
      <vt:lpstr>需求分析WBS</vt:lpstr>
      <vt:lpstr>系统实现WBS</vt:lpstr>
      <vt:lpstr>UAT试运行WBS</vt:lpstr>
      <vt:lpstr>上线运行WBS</vt:lpstr>
      <vt:lpstr>法定节假日</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DingTalk</dc:creator>
  <cp:lastModifiedBy>KI</cp:lastModifiedBy>
  <dcterms:created xsi:type="dcterms:W3CDTF">2006-09-16T00:00:00Z</dcterms:created>
  <dcterms:modified xsi:type="dcterms:W3CDTF">2026-09-02T05:03:07Z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5F90051970D24BD3B9B13483617C9F61_13</vt:lpwstr>
  </property>
  <property fmtid="{D5CDD505-2E9C-101B-9397-08002B2CF9AE}" pid="3" name="KSOProductBuildVer">
    <vt:lpwstr>2052-12.1.0.28505</vt:lpwstr>
  </property>
  <property fmtid="{D5CDD505-2E9C-101B-9397-08002B2CF9AE}" pid="4" name="CalculationRule">
    <vt:i4>0</vt:i4>
  </property>
</Properties>
</file>